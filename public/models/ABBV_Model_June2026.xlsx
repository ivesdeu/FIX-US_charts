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8_{C31122FD-F416-0F45-8D9A-CAE062FC897B}" xr6:coauthVersionLast="47" xr6:coauthVersionMax="47" xr10:uidLastSave="{00000000-0000-0000-0000-000000000000}"/>
  <bookViews>
    <workbookView xWindow="0" yWindow="760" windowWidth="19420" windowHeight="10300" tabRatio="783" firstSheet="7" activeTab="14" xr2:uid="{00000000-000D-0000-FFFF-FFFF00000000}"/>
  </bookViews>
  <sheets>
    <sheet name="Cover" sheetId="1" r:id="rId1"/>
    <sheet name="Dashboard" sheetId="2" r:id="rId2"/>
    <sheet name="Drivers" sheetId="3" r:id="rId3"/>
    <sheet name="Fin-Summary" sheetId="4" r:id="rId4"/>
    <sheet name="Fin-Forecast" sheetId="5" r:id="rId5"/>
    <sheet name="Fin-Capital" sheetId="6" r:id="rId6"/>
    <sheet name="Fin-Ratios" sheetId="7" r:id="rId7"/>
    <sheet name="Fin-FCF" sheetId="8" r:id="rId8"/>
    <sheet name="Charts" sheetId="9" r:id="rId9"/>
    <sheet name="DCF-FCFF" sheetId="10" r:id="rId10"/>
    <sheet name="DCF-FCFE" sheetId="11" r:id="rId11"/>
    <sheet name="EVA-Residual" sheetId="12" r:id="rId12"/>
    <sheet name="MVA" sheetId="13" r:id="rId13"/>
    <sheet name="Comps" sheetId="14" r:id="rId14"/>
    <sheet name="Scenario-Sensitivity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4" l="1"/>
  <c r="B13" i="14"/>
  <c r="B12" i="14"/>
  <c r="B11" i="14"/>
  <c r="B16" i="13"/>
  <c r="B11" i="13"/>
  <c r="B10" i="13"/>
  <c r="B6" i="13"/>
  <c r="C34" i="12"/>
  <c r="B12" i="12"/>
  <c r="B11" i="12"/>
  <c r="B10" i="12"/>
  <c r="B9" i="12"/>
  <c r="B7" i="12"/>
  <c r="B9" i="11"/>
  <c r="B8" i="11"/>
  <c r="B7" i="11"/>
  <c r="B6" i="11"/>
  <c r="B29" i="10"/>
  <c r="B10" i="10"/>
  <c r="B9" i="10"/>
  <c r="B8" i="10"/>
  <c r="B7" i="10"/>
  <c r="B6" i="10"/>
  <c r="D19" i="9"/>
  <c r="D18" i="9"/>
  <c r="D17" i="9"/>
  <c r="D16" i="9"/>
  <c r="D15" i="9"/>
  <c r="F24" i="8"/>
  <c r="E24" i="8"/>
  <c r="D24" i="8"/>
  <c r="C24" i="8"/>
  <c r="M23" i="8"/>
  <c r="F23" i="8"/>
  <c r="E23" i="8"/>
  <c r="D23" i="8"/>
  <c r="C23" i="8"/>
  <c r="B23" i="8"/>
  <c r="E21" i="8"/>
  <c r="F19" i="8"/>
  <c r="F21" i="8" s="1"/>
  <c r="E19" i="8"/>
  <c r="D19" i="8"/>
  <c r="C19" i="8"/>
  <c r="C21" i="8" s="1"/>
  <c r="B19" i="8"/>
  <c r="C17" i="8"/>
  <c r="M13" i="8"/>
  <c r="K13" i="8"/>
  <c r="J13" i="8"/>
  <c r="F13" i="8"/>
  <c r="E13" i="8"/>
  <c r="D13" i="8"/>
  <c r="C13" i="8"/>
  <c r="B13" i="8"/>
  <c r="E10" i="8"/>
  <c r="D10" i="8"/>
  <c r="C10" i="8"/>
  <c r="F8" i="8"/>
  <c r="E8" i="8"/>
  <c r="F10" i="8" s="1"/>
  <c r="D8" i="8"/>
  <c r="C8" i="8"/>
  <c r="B8" i="8"/>
  <c r="F6" i="8"/>
  <c r="C6" i="8"/>
  <c r="F42" i="7"/>
  <c r="E42" i="7"/>
  <c r="F41" i="7"/>
  <c r="E41" i="7"/>
  <c r="D41" i="7"/>
  <c r="D42" i="7" s="1"/>
  <c r="C41" i="7"/>
  <c r="C42" i="7" s="1"/>
  <c r="B41" i="7"/>
  <c r="B42" i="7" s="1"/>
  <c r="F37" i="7"/>
  <c r="E37" i="7"/>
  <c r="D37" i="7"/>
  <c r="C37" i="7"/>
  <c r="B35" i="7"/>
  <c r="F33" i="7"/>
  <c r="E33" i="7"/>
  <c r="D33" i="7"/>
  <c r="C33" i="7"/>
  <c r="F32" i="7"/>
  <c r="E32" i="7"/>
  <c r="D32" i="7"/>
  <c r="C32" i="7"/>
  <c r="B32" i="7"/>
  <c r="C18" i="7"/>
  <c r="F13" i="7"/>
  <c r="E13" i="7"/>
  <c r="D13" i="7"/>
  <c r="C13" i="7"/>
  <c r="B13" i="7"/>
  <c r="F12" i="7"/>
  <c r="E12" i="7"/>
  <c r="D12" i="7"/>
  <c r="C12" i="7"/>
  <c r="B12" i="7"/>
  <c r="F11" i="7"/>
  <c r="E11" i="7"/>
  <c r="D11" i="7"/>
  <c r="C11" i="7"/>
  <c r="B11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F24" i="6"/>
  <c r="E24" i="6"/>
  <c r="D24" i="6"/>
  <c r="C24" i="6"/>
  <c r="B24" i="6"/>
  <c r="F21" i="6"/>
  <c r="E21" i="6"/>
  <c r="D21" i="6"/>
  <c r="C21" i="6"/>
  <c r="B21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V18" i="6"/>
  <c r="U18" i="6"/>
  <c r="P18" i="6"/>
  <c r="N18" i="6"/>
  <c r="O18" i="6" s="1"/>
  <c r="H18" i="6"/>
  <c r="H24" i="8" s="1"/>
  <c r="G18" i="6"/>
  <c r="B14" i="6"/>
  <c r="B14" i="4" s="1"/>
  <c r="N12" i="6"/>
  <c r="G12" i="6"/>
  <c r="G19" i="8" s="1"/>
  <c r="G21" i="8" s="1"/>
  <c r="B11" i="6"/>
  <c r="O9" i="6"/>
  <c r="O8" i="6"/>
  <c r="F8" i="6"/>
  <c r="F10" i="6" s="1"/>
  <c r="E8" i="6"/>
  <c r="E10" i="6" s="1"/>
  <c r="D8" i="6"/>
  <c r="D10" i="6" s="1"/>
  <c r="C8" i="6"/>
  <c r="C10" i="6" s="1"/>
  <c r="B8" i="6"/>
  <c r="B10" i="6" s="1"/>
  <c r="B18" i="8" s="1"/>
  <c r="O7" i="6"/>
  <c r="N7" i="6"/>
  <c r="N8" i="6" s="1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5" i="5"/>
  <c r="E35" i="5"/>
  <c r="D35" i="5"/>
  <c r="C35" i="5"/>
  <c r="B35" i="5"/>
  <c r="U34" i="5"/>
  <c r="V34" i="5" s="1"/>
  <c r="W34" i="5" s="1"/>
  <c r="X34" i="5" s="1"/>
  <c r="Y34" i="5" s="1"/>
  <c r="Z34" i="5" s="1"/>
  <c r="AA34" i="5" s="1"/>
  <c r="O34" i="5"/>
  <c r="P34" i="5" s="1"/>
  <c r="Q34" i="5" s="1"/>
  <c r="R34" i="5" s="1"/>
  <c r="S34" i="5" s="1"/>
  <c r="T34" i="5" s="1"/>
  <c r="N34" i="5"/>
  <c r="I34" i="5"/>
  <c r="J34" i="5" s="1"/>
  <c r="K34" i="5" s="1"/>
  <c r="L34" i="5" s="1"/>
  <c r="M34" i="5" s="1"/>
  <c r="H34" i="5"/>
  <c r="G34" i="5"/>
  <c r="F33" i="5"/>
  <c r="F10" i="4" s="1"/>
  <c r="E33" i="5"/>
  <c r="D33" i="5"/>
  <c r="D18" i="7" s="1"/>
  <c r="C33" i="5"/>
  <c r="B33" i="5"/>
  <c r="B18" i="7" s="1"/>
  <c r="F30" i="5"/>
  <c r="E30" i="5"/>
  <c r="E34" i="7" s="1"/>
  <c r="D30" i="5"/>
  <c r="C30" i="5"/>
  <c r="B30" i="5"/>
  <c r="B34" i="7" s="1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K23" i="8" s="1"/>
  <c r="J29" i="5"/>
  <c r="J23" i="8" s="1"/>
  <c r="I29" i="5"/>
  <c r="H29" i="5"/>
  <c r="H23" i="8" s="1"/>
  <c r="G29" i="5"/>
  <c r="F27" i="5"/>
  <c r="E27" i="5"/>
  <c r="D27" i="5"/>
  <c r="C27" i="5"/>
  <c r="B27" i="5"/>
  <c r="F26" i="5"/>
  <c r="E26" i="5"/>
  <c r="D26" i="5"/>
  <c r="C26" i="5"/>
  <c r="B26" i="5"/>
  <c r="N25" i="5"/>
  <c r="N27" i="5" s="1"/>
  <c r="H25" i="5"/>
  <c r="H13" i="7" s="1"/>
  <c r="G25" i="5"/>
  <c r="G32" i="7" s="1"/>
  <c r="F24" i="5"/>
  <c r="E24" i="5"/>
  <c r="D24" i="5"/>
  <c r="C24" i="5"/>
  <c r="B24" i="5"/>
  <c r="O23" i="5"/>
  <c r="O24" i="5" s="1"/>
  <c r="N23" i="5"/>
  <c r="N26" i="5" s="1"/>
  <c r="O22" i="5"/>
  <c r="N22" i="5"/>
  <c r="G22" i="5"/>
  <c r="F22" i="5"/>
  <c r="E22" i="5"/>
  <c r="D22" i="5"/>
  <c r="C22" i="5"/>
  <c r="U21" i="5"/>
  <c r="O21" i="5"/>
  <c r="N21" i="5"/>
  <c r="I21" i="5"/>
  <c r="I12" i="6" s="1"/>
  <c r="H21" i="5"/>
  <c r="H7" i="6" s="1"/>
  <c r="G21" i="5"/>
  <c r="M23" i="4"/>
  <c r="L23" i="4"/>
  <c r="K23" i="4"/>
  <c r="J23" i="4"/>
  <c r="G23" i="4"/>
  <c r="F23" i="4"/>
  <c r="E23" i="4"/>
  <c r="D23" i="4"/>
  <c r="C23" i="4"/>
  <c r="B23" i="4"/>
  <c r="F22" i="4"/>
  <c r="E22" i="4"/>
  <c r="D22" i="4"/>
  <c r="C22" i="4"/>
  <c r="B22" i="4"/>
  <c r="B19" i="4"/>
  <c r="B18" i="4"/>
  <c r="H15" i="4"/>
  <c r="G15" i="4"/>
  <c r="F15" i="4"/>
  <c r="E15" i="4"/>
  <c r="D15" i="4"/>
  <c r="C15" i="4"/>
  <c r="B15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G6" i="4"/>
  <c r="F6" i="4"/>
  <c r="E6" i="4"/>
  <c r="D6" i="4"/>
  <c r="C6" i="4"/>
  <c r="B6" i="4"/>
  <c r="L31" i="3"/>
  <c r="K31" i="3"/>
  <c r="J31" i="3"/>
  <c r="I31" i="3"/>
  <c r="H31" i="3"/>
  <c r="G31" i="3"/>
  <c r="F31" i="3"/>
  <c r="D24" i="3"/>
  <c r="D19" i="3"/>
  <c r="D11" i="3"/>
  <c r="D12" i="3" s="1"/>
  <c r="B5" i="14" s="1"/>
  <c r="D7" i="3"/>
  <c r="B19" i="2"/>
  <c r="C17" i="2"/>
  <c r="A6" i="2"/>
  <c r="A5" i="2"/>
  <c r="N15" i="6" l="1"/>
  <c r="C11" i="6"/>
  <c r="C18" i="8"/>
  <c r="C20" i="8" s="1"/>
  <c r="C22" i="8" s="1"/>
  <c r="C14" i="6"/>
  <c r="C14" i="4" s="1"/>
  <c r="E11" i="6"/>
  <c r="E18" i="8"/>
  <c r="E20" i="8" s="1"/>
  <c r="E14" i="6"/>
  <c r="E14" i="4" s="1"/>
  <c r="F18" i="8"/>
  <c r="F20" i="8" s="1"/>
  <c r="F14" i="6"/>
  <c r="F14" i="4" s="1"/>
  <c r="F11" i="6"/>
  <c r="D11" i="6"/>
  <c r="D18" i="8"/>
  <c r="D14" i="6"/>
  <c r="D14" i="4" s="1"/>
  <c r="I8" i="6"/>
  <c r="U24" i="5"/>
  <c r="I8" i="8"/>
  <c r="I19" i="8"/>
  <c r="C34" i="7"/>
  <c r="C36" i="7" s="1"/>
  <c r="C38" i="7" s="1"/>
  <c r="C43" i="7" s="1"/>
  <c r="C35" i="7"/>
  <c r="D35" i="7"/>
  <c r="D36" i="7" s="1"/>
  <c r="D38" i="7" s="1"/>
  <c r="D43" i="7" s="1"/>
  <c r="D34" i="7"/>
  <c r="I7" i="6"/>
  <c r="Q18" i="6"/>
  <c r="G12" i="7"/>
  <c r="G13" i="8"/>
  <c r="G23" i="8"/>
  <c r="U23" i="5"/>
  <c r="U12" i="6"/>
  <c r="U7" i="6"/>
  <c r="U8" i="6" s="1"/>
  <c r="U25" i="5"/>
  <c r="U24" i="6"/>
  <c r="V21" i="5"/>
  <c r="I9" i="6"/>
  <c r="H12" i="7"/>
  <c r="H13" i="8"/>
  <c r="F34" i="7"/>
  <c r="F36" i="7" s="1"/>
  <c r="F38" i="7" s="1"/>
  <c r="F43" i="7" s="1"/>
  <c r="F35" i="7"/>
  <c r="B7" i="8"/>
  <c r="B13" i="6"/>
  <c r="W18" i="6"/>
  <c r="G8" i="4"/>
  <c r="G27" i="5"/>
  <c r="H30" i="5"/>
  <c r="B6" i="8"/>
  <c r="B17" i="8"/>
  <c r="H7" i="7"/>
  <c r="H8" i="4"/>
  <c r="H9" i="6"/>
  <c r="H24" i="5"/>
  <c r="H22" i="5"/>
  <c r="H6" i="4"/>
  <c r="H23" i="5"/>
  <c r="B6" i="14"/>
  <c r="G30" i="5"/>
  <c r="G7" i="7"/>
  <c r="H27" i="5"/>
  <c r="H12" i="6"/>
  <c r="H32" i="7"/>
  <c r="F18" i="7"/>
  <c r="E35" i="7"/>
  <c r="E36" i="7" s="1"/>
  <c r="E38" i="7" s="1"/>
  <c r="E43" i="7" s="1"/>
  <c r="E10" i="4"/>
  <c r="E18" i="7"/>
  <c r="E17" i="8"/>
  <c r="E22" i="8" s="1"/>
  <c r="G8" i="6"/>
  <c r="U22" i="5"/>
  <c r="I13" i="8"/>
  <c r="I23" i="8"/>
  <c r="H8" i="6"/>
  <c r="O10" i="6"/>
  <c r="I18" i="6"/>
  <c r="G24" i="6"/>
  <c r="H24" i="6"/>
  <c r="F17" i="8"/>
  <c r="I24" i="5"/>
  <c r="J21" i="5"/>
  <c r="I6" i="4"/>
  <c r="I25" i="5"/>
  <c r="D6" i="8"/>
  <c r="D17" i="8"/>
  <c r="D10" i="4"/>
  <c r="N9" i="6"/>
  <c r="N10" i="6" s="1"/>
  <c r="N24" i="5"/>
  <c r="H33" i="5"/>
  <c r="U9" i="6"/>
  <c r="I24" i="6"/>
  <c r="G8" i="8"/>
  <c r="G10" i="8" s="1"/>
  <c r="G33" i="5"/>
  <c r="G13" i="7"/>
  <c r="O24" i="6"/>
  <c r="O12" i="6"/>
  <c r="O15" i="6" s="1"/>
  <c r="N30" i="5"/>
  <c r="N33" i="5"/>
  <c r="L23" i="8"/>
  <c r="L13" i="8"/>
  <c r="H23" i="4"/>
  <c r="P21" i="5"/>
  <c r="I22" i="5"/>
  <c r="O25" i="5"/>
  <c r="B6" i="12"/>
  <c r="B5" i="11"/>
  <c r="D25" i="3"/>
  <c r="I23" i="4"/>
  <c r="I23" i="5"/>
  <c r="N24" i="6"/>
  <c r="E6" i="8"/>
  <c r="G23" i="5"/>
  <c r="G24" i="8"/>
  <c r="D21" i="8"/>
  <c r="G9" i="6"/>
  <c r="G7" i="6"/>
  <c r="N14" i="6" l="1"/>
  <c r="N11" i="6"/>
  <c r="N13" i="6" s="1"/>
  <c r="N25" i="6" s="1"/>
  <c r="U10" i="6"/>
  <c r="U15" i="6"/>
  <c r="G15" i="6"/>
  <c r="G10" i="6"/>
  <c r="H26" i="5"/>
  <c r="H6" i="7"/>
  <c r="H7" i="4"/>
  <c r="H19" i="8"/>
  <c r="H21" i="8" s="1"/>
  <c r="H8" i="8"/>
  <c r="H10" i="8" s="1"/>
  <c r="I33" i="5"/>
  <c r="I32" i="7"/>
  <c r="I13" i="7"/>
  <c r="I27" i="5"/>
  <c r="I8" i="4"/>
  <c r="I7" i="7"/>
  <c r="I30" i="5"/>
  <c r="P25" i="5"/>
  <c r="P12" i="6"/>
  <c r="P24" i="6" s="1"/>
  <c r="Q21" i="5"/>
  <c r="P24" i="5"/>
  <c r="P23" i="5"/>
  <c r="P26" i="5" s="1"/>
  <c r="P9" i="6"/>
  <c r="P7" i="6"/>
  <c r="P8" i="6" s="1"/>
  <c r="P22" i="5"/>
  <c r="H31" i="5"/>
  <c r="H32" i="5"/>
  <c r="H34" i="7"/>
  <c r="R18" i="6"/>
  <c r="G31" i="5"/>
  <c r="G32" i="5"/>
  <c r="G34" i="7"/>
  <c r="G15" i="11"/>
  <c r="C15" i="11"/>
  <c r="H15" i="11"/>
  <c r="F15" i="11"/>
  <c r="E15" i="11"/>
  <c r="D15" i="11"/>
  <c r="I15" i="11"/>
  <c r="C16" i="12"/>
  <c r="G17" i="8"/>
  <c r="G18" i="7"/>
  <c r="G10" i="4"/>
  <c r="G6" i="8"/>
  <c r="I24" i="8"/>
  <c r="I15" i="4"/>
  <c r="I11" i="7"/>
  <c r="I12" i="7"/>
  <c r="J18" i="6"/>
  <c r="E37" i="12"/>
  <c r="D37" i="12"/>
  <c r="C37" i="12"/>
  <c r="C35" i="12"/>
  <c r="G37" i="12"/>
  <c r="F37" i="12"/>
  <c r="I37" i="12"/>
  <c r="H37" i="12"/>
  <c r="O30" i="5"/>
  <c r="O27" i="5"/>
  <c r="O33" i="5"/>
  <c r="G26" i="5"/>
  <c r="G6" i="7"/>
  <c r="G7" i="4"/>
  <c r="G24" i="5"/>
  <c r="J24" i="6"/>
  <c r="J7" i="6"/>
  <c r="J8" i="6" s="1"/>
  <c r="J22" i="5"/>
  <c r="K21" i="5"/>
  <c r="J12" i="6"/>
  <c r="J25" i="5"/>
  <c r="J9" i="6"/>
  <c r="J23" i="5"/>
  <c r="J6" i="4"/>
  <c r="C12" i="14"/>
  <c r="D12" i="14" s="1"/>
  <c r="C11" i="14"/>
  <c r="E7" i="8"/>
  <c r="E13" i="6"/>
  <c r="X18" i="6"/>
  <c r="V23" i="5"/>
  <c r="V26" i="5" s="1"/>
  <c r="V7" i="6"/>
  <c r="V8" i="6" s="1"/>
  <c r="V12" i="6"/>
  <c r="V9" i="6"/>
  <c r="V22" i="5"/>
  <c r="W21" i="5"/>
  <c r="V24" i="6"/>
  <c r="V25" i="5"/>
  <c r="I15" i="6"/>
  <c r="I10" i="6"/>
  <c r="N31" i="5"/>
  <c r="N32" i="5" s="1"/>
  <c r="F22" i="8"/>
  <c r="B14" i="7"/>
  <c r="B25" i="6"/>
  <c r="B13" i="4"/>
  <c r="B22" i="7"/>
  <c r="B23" i="7" s="1"/>
  <c r="C25" i="8"/>
  <c r="C19" i="4" s="1"/>
  <c r="C18" i="4"/>
  <c r="E25" i="8"/>
  <c r="E19" i="4" s="1"/>
  <c r="E18" i="4"/>
  <c r="U30" i="5"/>
  <c r="U33" i="5"/>
  <c r="U27" i="5"/>
  <c r="I6" i="7"/>
  <c r="I26" i="5"/>
  <c r="I7" i="4"/>
  <c r="D16" i="12"/>
  <c r="H18" i="7"/>
  <c r="H6" i="8"/>
  <c r="H10" i="4"/>
  <c r="H17" i="8"/>
  <c r="C7" i="8"/>
  <c r="C9" i="8" s="1"/>
  <c r="C11" i="8" s="1"/>
  <c r="C13" i="6"/>
  <c r="B5" i="12"/>
  <c r="J27" i="7"/>
  <c r="E27" i="7"/>
  <c r="B5" i="10"/>
  <c r="L27" i="7"/>
  <c r="K27" i="7"/>
  <c r="I27" i="7"/>
  <c r="G27" i="7"/>
  <c r="M27" i="7"/>
  <c r="H27" i="7"/>
  <c r="F27" i="7"/>
  <c r="D27" i="7"/>
  <c r="C27" i="7"/>
  <c r="B27" i="7"/>
  <c r="U26" i="5"/>
  <c r="I21" i="8"/>
  <c r="D20" i="8"/>
  <c r="I10" i="8"/>
  <c r="D7" i="8"/>
  <c r="D9" i="8" s="1"/>
  <c r="D11" i="8" s="1"/>
  <c r="D13" i="6"/>
  <c r="O26" i="5"/>
  <c r="F7" i="8"/>
  <c r="F9" i="8" s="1"/>
  <c r="F11" i="8" s="1"/>
  <c r="F13" i="6"/>
  <c r="O14" i="6"/>
  <c r="O11" i="6"/>
  <c r="O13" i="6" s="1"/>
  <c r="O25" i="6" s="1"/>
  <c r="D22" i="8"/>
  <c r="H15" i="6"/>
  <c r="H10" i="6"/>
  <c r="N20" i="6" l="1"/>
  <c r="N35" i="5"/>
  <c r="D12" i="8"/>
  <c r="D14" i="8"/>
  <c r="U32" i="5"/>
  <c r="U31" i="5"/>
  <c r="I18" i="8"/>
  <c r="I14" i="6"/>
  <c r="I14" i="4" s="1"/>
  <c r="I11" i="6"/>
  <c r="I18" i="7"/>
  <c r="I6" i="8"/>
  <c r="E16" i="12"/>
  <c r="I10" i="4"/>
  <c r="I17" i="8"/>
  <c r="E13" i="4"/>
  <c r="E14" i="7"/>
  <c r="E25" i="6"/>
  <c r="E19" i="7"/>
  <c r="E20" i="7" s="1"/>
  <c r="E22" i="7"/>
  <c r="E23" i="7" s="1"/>
  <c r="J24" i="8"/>
  <c r="K18" i="6"/>
  <c r="J12" i="7"/>
  <c r="J15" i="4"/>
  <c r="I20" i="12"/>
  <c r="G20" i="12"/>
  <c r="C20" i="12"/>
  <c r="C18" i="12"/>
  <c r="C19" i="12" s="1"/>
  <c r="C21" i="12" s="1"/>
  <c r="H20" i="12"/>
  <c r="F20" i="12"/>
  <c r="E20" i="12"/>
  <c r="D20" i="12"/>
  <c r="I33" i="7"/>
  <c r="E9" i="8"/>
  <c r="E11" i="8" s="1"/>
  <c r="F25" i="8"/>
  <c r="F19" i="4" s="1"/>
  <c r="F18" i="4"/>
  <c r="V24" i="5"/>
  <c r="H33" i="7"/>
  <c r="H11" i="7"/>
  <c r="C14" i="8"/>
  <c r="C12" i="8"/>
  <c r="V30" i="5"/>
  <c r="V33" i="5"/>
  <c r="V27" i="5"/>
  <c r="R21" i="5"/>
  <c r="Q7" i="6"/>
  <c r="Q8" i="6" s="1"/>
  <c r="Q25" i="5"/>
  <c r="Q12" i="6"/>
  <c r="Q9" i="6"/>
  <c r="Q23" i="5"/>
  <c r="Q26" i="5" s="1"/>
  <c r="Q22" i="5"/>
  <c r="Q24" i="6"/>
  <c r="C22" i="7"/>
  <c r="C23" i="7" s="1"/>
  <c r="C19" i="7"/>
  <c r="C20" i="7" s="1"/>
  <c r="C14" i="7"/>
  <c r="C25" i="6"/>
  <c r="C13" i="4"/>
  <c r="D11" i="14"/>
  <c r="D25" i="8"/>
  <c r="D19" i="4" s="1"/>
  <c r="D18" i="4"/>
  <c r="C33" i="12"/>
  <c r="C36" i="12" s="1"/>
  <c r="C38" i="12" s="1"/>
  <c r="G9" i="4"/>
  <c r="G8" i="7"/>
  <c r="G35" i="7"/>
  <c r="G41" i="7"/>
  <c r="G42" i="7" s="1"/>
  <c r="G20" i="6"/>
  <c r="G35" i="5"/>
  <c r="X21" i="5"/>
  <c r="W7" i="6"/>
  <c r="W8" i="6" s="1"/>
  <c r="W9" i="6"/>
  <c r="W22" i="5"/>
  <c r="W23" i="5"/>
  <c r="W26" i="5" s="1"/>
  <c r="W25" i="5"/>
  <c r="W12" i="6"/>
  <c r="W24" i="6" s="1"/>
  <c r="D22" i="7"/>
  <c r="D23" i="7" s="1"/>
  <c r="D14" i="7"/>
  <c r="D19" i="7"/>
  <c r="D20" i="7" s="1"/>
  <c r="D25" i="6"/>
  <c r="D13" i="4"/>
  <c r="S18" i="6"/>
  <c r="P27" i="5"/>
  <c r="P30" i="5"/>
  <c r="P33" i="5"/>
  <c r="J6" i="7"/>
  <c r="J26" i="5"/>
  <c r="J7" i="4"/>
  <c r="J8" i="8"/>
  <c r="J10" i="8" s="1"/>
  <c r="J19" i="8"/>
  <c r="J21" i="8" s="1"/>
  <c r="I31" i="5"/>
  <c r="I32" i="5" s="1"/>
  <c r="I34" i="7"/>
  <c r="G18" i="8"/>
  <c r="G20" i="8" s="1"/>
  <c r="G14" i="6"/>
  <c r="G14" i="4" s="1"/>
  <c r="G11" i="6"/>
  <c r="H14" i="6"/>
  <c r="H14" i="4" s="1"/>
  <c r="H11" i="6"/>
  <c r="H18" i="8"/>
  <c r="B8" i="12"/>
  <c r="C17" i="12"/>
  <c r="F25" i="6"/>
  <c r="F19" i="7"/>
  <c r="F20" i="7" s="1"/>
  <c r="F13" i="4"/>
  <c r="F22" i="7"/>
  <c r="F23" i="7" s="1"/>
  <c r="F14" i="7"/>
  <c r="J33" i="5"/>
  <c r="J32" i="7"/>
  <c r="J13" i="7"/>
  <c r="J27" i="5"/>
  <c r="J30" i="5"/>
  <c r="J8" i="4"/>
  <c r="J7" i="7"/>
  <c r="F14" i="8"/>
  <c r="F12" i="8"/>
  <c r="J24" i="5"/>
  <c r="G22" i="8"/>
  <c r="G33" i="7"/>
  <c r="G11" i="7"/>
  <c r="V15" i="6"/>
  <c r="V10" i="6"/>
  <c r="K12" i="6"/>
  <c r="K24" i="6" s="1"/>
  <c r="K24" i="5"/>
  <c r="K9" i="6"/>
  <c r="K25" i="5"/>
  <c r="L21" i="5"/>
  <c r="K7" i="6"/>
  <c r="K8" i="6" s="1"/>
  <c r="K23" i="5"/>
  <c r="K6" i="4"/>
  <c r="K22" i="5"/>
  <c r="O32" i="5"/>
  <c r="O35" i="5" s="1"/>
  <c r="O31" i="5"/>
  <c r="D33" i="12"/>
  <c r="H35" i="7"/>
  <c r="H35" i="5"/>
  <c r="H22" i="4" s="1"/>
  <c r="H9" i="4"/>
  <c r="H8" i="7"/>
  <c r="H41" i="7"/>
  <c r="H42" i="7" s="1"/>
  <c r="U11" i="6"/>
  <c r="U13" i="6" s="1"/>
  <c r="U25" i="6" s="1"/>
  <c r="U14" i="6"/>
  <c r="I16" i="10"/>
  <c r="C16" i="10"/>
  <c r="D16" i="10"/>
  <c r="H16" i="10"/>
  <c r="G16" i="10"/>
  <c r="E16" i="10"/>
  <c r="F16" i="10"/>
  <c r="Y18" i="6"/>
  <c r="J10" i="6"/>
  <c r="J15" i="6"/>
  <c r="P10" i="6"/>
  <c r="P15" i="6"/>
  <c r="E33" i="12" l="1"/>
  <c r="I8" i="7"/>
  <c r="I35" i="5"/>
  <c r="I22" i="4" s="1"/>
  <c r="I35" i="7"/>
  <c r="I36" i="7" s="1"/>
  <c r="I9" i="4"/>
  <c r="I41" i="7"/>
  <c r="I42" i="7" s="1"/>
  <c r="W24" i="5"/>
  <c r="R23" i="5"/>
  <c r="R24" i="5"/>
  <c r="R9" i="6"/>
  <c r="R12" i="6"/>
  <c r="R24" i="6" s="1"/>
  <c r="R7" i="6"/>
  <c r="R8" i="6" s="1"/>
  <c r="R22" i="5"/>
  <c r="R25" i="5"/>
  <c r="S21" i="5"/>
  <c r="P11" i="6"/>
  <c r="P13" i="6" s="1"/>
  <c r="P25" i="6" s="1"/>
  <c r="P14" i="6"/>
  <c r="K7" i="7"/>
  <c r="K27" i="5"/>
  <c r="K32" i="7"/>
  <c r="K13" i="7"/>
  <c r="K33" i="5"/>
  <c r="K8" i="4"/>
  <c r="K30" i="5"/>
  <c r="X9" i="6"/>
  <c r="X23" i="5"/>
  <c r="X24" i="5" s="1"/>
  <c r="X7" i="6"/>
  <c r="X8" i="6" s="1"/>
  <c r="X22" i="5"/>
  <c r="X25" i="5"/>
  <c r="Y21" i="5"/>
  <c r="X12" i="6"/>
  <c r="X24" i="6" s="1"/>
  <c r="Q10" i="6"/>
  <c r="Q15" i="6"/>
  <c r="J33" i="7"/>
  <c r="J14" i="6"/>
  <c r="J14" i="4" s="1"/>
  <c r="J11" i="6"/>
  <c r="J18" i="8"/>
  <c r="J20" i="8" s="1"/>
  <c r="B7" i="14"/>
  <c r="G22" i="4"/>
  <c r="I11" i="8"/>
  <c r="D34" i="12"/>
  <c r="D35" i="12" s="1"/>
  <c r="H20" i="6"/>
  <c r="G21" i="6"/>
  <c r="C28" i="7"/>
  <c r="C26" i="7"/>
  <c r="V31" i="5"/>
  <c r="V32" i="5" s="1"/>
  <c r="V35" i="5" s="1"/>
  <c r="K24" i="8"/>
  <c r="K12" i="7"/>
  <c r="L18" i="6"/>
  <c r="K15" i="4"/>
  <c r="V14" i="6"/>
  <c r="V11" i="6"/>
  <c r="V13" i="6" s="1"/>
  <c r="V25" i="6" s="1"/>
  <c r="C15" i="10"/>
  <c r="C17" i="10" s="1"/>
  <c r="G25" i="8"/>
  <c r="G18" i="4"/>
  <c r="D26" i="7"/>
  <c r="D28" i="7"/>
  <c r="F26" i="7"/>
  <c r="F28" i="7"/>
  <c r="Z18" i="6"/>
  <c r="D36" i="12"/>
  <c r="D38" i="12" s="1"/>
  <c r="I7" i="8"/>
  <c r="I9" i="8" s="1"/>
  <c r="I13" i="6"/>
  <c r="J31" i="5"/>
  <c r="J32" i="5" s="1"/>
  <c r="J34" i="7"/>
  <c r="H20" i="8"/>
  <c r="H22" i="8" s="1"/>
  <c r="W27" i="5"/>
  <c r="W33" i="5"/>
  <c r="W30" i="5"/>
  <c r="J11" i="7"/>
  <c r="I20" i="8"/>
  <c r="I22" i="8" s="1"/>
  <c r="K19" i="8"/>
  <c r="K21" i="8" s="1"/>
  <c r="K8" i="8"/>
  <c r="K10" i="8" s="1"/>
  <c r="H13" i="6"/>
  <c r="H7" i="8"/>
  <c r="H36" i="7"/>
  <c r="U20" i="6"/>
  <c r="U35" i="5"/>
  <c r="E26" i="7"/>
  <c r="E28" i="7"/>
  <c r="P31" i="5"/>
  <c r="P32" i="5" s="1"/>
  <c r="P35" i="5" s="1"/>
  <c r="G13" i="6"/>
  <c r="G7" i="8"/>
  <c r="G9" i="8" s="1"/>
  <c r="G11" i="8" s="1"/>
  <c r="K7" i="4"/>
  <c r="K6" i="7"/>
  <c r="K26" i="5"/>
  <c r="G37" i="7"/>
  <c r="K15" i="6"/>
  <c r="K10" i="6"/>
  <c r="Q24" i="5"/>
  <c r="J17" i="8"/>
  <c r="J22" i="8" s="1"/>
  <c r="F16" i="12"/>
  <c r="J6" i="8"/>
  <c r="J18" i="7"/>
  <c r="J10" i="4"/>
  <c r="L24" i="6"/>
  <c r="L12" i="6"/>
  <c r="L22" i="5"/>
  <c r="L25" i="5"/>
  <c r="M21" i="5"/>
  <c r="L24" i="5"/>
  <c r="L9" i="6"/>
  <c r="L7" i="6"/>
  <c r="L8" i="6" s="1"/>
  <c r="L23" i="5"/>
  <c r="L6" i="4"/>
  <c r="G36" i="7"/>
  <c r="T18" i="6"/>
  <c r="W10" i="6"/>
  <c r="W15" i="6"/>
  <c r="Q33" i="5"/>
  <c r="Q27" i="5"/>
  <c r="Q30" i="5"/>
  <c r="E14" i="8"/>
  <c r="E12" i="8"/>
  <c r="O20" i="6"/>
  <c r="N21" i="6"/>
  <c r="F33" i="12" l="1"/>
  <c r="J35" i="5"/>
  <c r="J22" i="4" s="1"/>
  <c r="J35" i="7"/>
  <c r="J36" i="7" s="1"/>
  <c r="J8" i="7"/>
  <c r="J9" i="4"/>
  <c r="J41" i="7"/>
  <c r="J42" i="7" s="1"/>
  <c r="E15" i="10"/>
  <c r="E17" i="10" s="1"/>
  <c r="I25" i="8"/>
  <c r="I18" i="4"/>
  <c r="D15" i="10"/>
  <c r="D17" i="10" s="1"/>
  <c r="H25" i="8"/>
  <c r="H18" i="4"/>
  <c r="M22" i="5"/>
  <c r="M6" i="4"/>
  <c r="M25" i="5"/>
  <c r="M12" i="6"/>
  <c r="M24" i="6" s="1"/>
  <c r="M9" i="6"/>
  <c r="M7" i="6"/>
  <c r="M8" i="6" s="1"/>
  <c r="M23" i="5"/>
  <c r="G16" i="12"/>
  <c r="K17" i="8"/>
  <c r="K18" i="7"/>
  <c r="K6" i="8"/>
  <c r="K10" i="4"/>
  <c r="P20" i="6"/>
  <c r="O21" i="6"/>
  <c r="Q31" i="5"/>
  <c r="Q32" i="5" s="1"/>
  <c r="Q35" i="5" s="1"/>
  <c r="L32" i="7"/>
  <c r="L13" i="7"/>
  <c r="L33" i="5"/>
  <c r="L8" i="4"/>
  <c r="L30" i="5"/>
  <c r="L27" i="5"/>
  <c r="L7" i="7"/>
  <c r="V20" i="6"/>
  <c r="U21" i="6"/>
  <c r="Q14" i="6"/>
  <c r="Q11" i="6"/>
  <c r="Q13" i="6" s="1"/>
  <c r="Q25" i="6" s="1"/>
  <c r="K14" i="6"/>
  <c r="K14" i="4" s="1"/>
  <c r="K18" i="8"/>
  <c r="K20" i="8" s="1"/>
  <c r="K11" i="6"/>
  <c r="K33" i="7"/>
  <c r="H38" i="7"/>
  <c r="H43" i="7" s="1"/>
  <c r="H9" i="8"/>
  <c r="H11" i="8" s="1"/>
  <c r="F17" i="12"/>
  <c r="F18" i="12" s="1"/>
  <c r="F19" i="12" s="1"/>
  <c r="F21" i="12" s="1"/>
  <c r="I13" i="4"/>
  <c r="I19" i="7"/>
  <c r="I20" i="7" s="1"/>
  <c r="I25" i="6"/>
  <c r="I22" i="7"/>
  <c r="I23" i="7" s="1"/>
  <c r="I14" i="7"/>
  <c r="R26" i="5"/>
  <c r="E17" i="12"/>
  <c r="E18" i="12" s="1"/>
  <c r="E19" i="12" s="1"/>
  <c r="E21" i="12" s="1"/>
  <c r="H13" i="4"/>
  <c r="H22" i="7"/>
  <c r="H23" i="7" s="1"/>
  <c r="H25" i="6"/>
  <c r="H19" i="7"/>
  <c r="H20" i="7" s="1"/>
  <c r="H14" i="7"/>
  <c r="E34" i="12"/>
  <c r="E35" i="12" s="1"/>
  <c r="I20" i="6"/>
  <c r="H21" i="6"/>
  <c r="H37" i="7"/>
  <c r="Y12" i="6"/>
  <c r="Y24" i="6" s="1"/>
  <c r="Y25" i="5"/>
  <c r="Y9" i="6"/>
  <c r="Y23" i="5"/>
  <c r="Y22" i="5"/>
  <c r="Y7" i="6"/>
  <c r="Y8" i="6" s="1"/>
  <c r="Z21" i="5"/>
  <c r="W14" i="6"/>
  <c r="W11" i="6"/>
  <c r="W13" i="6" s="1"/>
  <c r="W25" i="6" s="1"/>
  <c r="L19" i="8"/>
  <c r="L21" i="8" s="1"/>
  <c r="L8" i="8"/>
  <c r="L10" i="8" s="1"/>
  <c r="X33" i="5"/>
  <c r="X27" i="5"/>
  <c r="X30" i="5"/>
  <c r="I12" i="8"/>
  <c r="I14" i="8"/>
  <c r="C14" i="14"/>
  <c r="D14" i="14" s="1"/>
  <c r="C13" i="14"/>
  <c r="X15" i="6"/>
  <c r="X10" i="6"/>
  <c r="S7" i="6"/>
  <c r="S8" i="6" s="1"/>
  <c r="S9" i="6"/>
  <c r="S12" i="6"/>
  <c r="S24" i="6" s="1"/>
  <c r="S24" i="5"/>
  <c r="S22" i="5"/>
  <c r="S23" i="5"/>
  <c r="S25" i="5"/>
  <c r="T21" i="5"/>
  <c r="D17" i="12"/>
  <c r="D18" i="12" s="1"/>
  <c r="D19" i="12" s="1"/>
  <c r="D21" i="12" s="1"/>
  <c r="G19" i="7"/>
  <c r="G20" i="7" s="1"/>
  <c r="G13" i="4"/>
  <c r="G22" i="7"/>
  <c r="G23" i="7" s="1"/>
  <c r="G25" i="6"/>
  <c r="G14" i="7"/>
  <c r="L12" i="7"/>
  <c r="L24" i="8"/>
  <c r="L15" i="4"/>
  <c r="M18" i="6"/>
  <c r="W32" i="5"/>
  <c r="W35" i="5" s="1"/>
  <c r="W31" i="5"/>
  <c r="X26" i="5"/>
  <c r="R30" i="5"/>
  <c r="R27" i="5"/>
  <c r="R33" i="5"/>
  <c r="J13" i="6"/>
  <c r="J7" i="8"/>
  <c r="J9" i="8" s="1"/>
  <c r="J11" i="8" s="1"/>
  <c r="G14" i="8"/>
  <c r="G12" i="8"/>
  <c r="AA18" i="6"/>
  <c r="K11" i="7"/>
  <c r="G38" i="7"/>
  <c r="G43" i="7" s="1"/>
  <c r="L7" i="4"/>
  <c r="L6" i="7"/>
  <c r="L26" i="5"/>
  <c r="L15" i="6"/>
  <c r="L11" i="7" s="1"/>
  <c r="L10" i="6"/>
  <c r="K34" i="7"/>
  <c r="K32" i="5"/>
  <c r="K31" i="5"/>
  <c r="E36" i="12"/>
  <c r="E38" i="12" s="1"/>
  <c r="R10" i="6"/>
  <c r="R15" i="6"/>
  <c r="J25" i="8"/>
  <c r="F15" i="10"/>
  <c r="F17" i="10" s="1"/>
  <c r="J18" i="4"/>
  <c r="C14" i="11"/>
  <c r="C16" i="11" s="1"/>
  <c r="G19" i="4"/>
  <c r="J14" i="8" l="1"/>
  <c r="J12" i="8"/>
  <c r="L6" i="8"/>
  <c r="H16" i="12"/>
  <c r="L17" i="8"/>
  <c r="L18" i="7"/>
  <c r="L10" i="4"/>
  <c r="H14" i="8"/>
  <c r="H12" i="8"/>
  <c r="F34" i="12"/>
  <c r="F35" i="12" s="1"/>
  <c r="J20" i="6"/>
  <c r="I21" i="6"/>
  <c r="I37" i="7"/>
  <c r="I38" i="7" s="1"/>
  <c r="I43" i="7" s="1"/>
  <c r="T25" i="5"/>
  <c r="T9" i="6"/>
  <c r="T24" i="6"/>
  <c r="T12" i="6"/>
  <c r="T7" i="6"/>
  <c r="T8" i="6" s="1"/>
  <c r="T23" i="5"/>
  <c r="T26" i="5" s="1"/>
  <c r="T22" i="5"/>
  <c r="K7" i="8"/>
  <c r="K9" i="8" s="1"/>
  <c r="K11" i="8" s="1"/>
  <c r="K13" i="6"/>
  <c r="E14" i="11"/>
  <c r="E16" i="11" s="1"/>
  <c r="I19" i="4"/>
  <c r="M33" i="5"/>
  <c r="M8" i="4"/>
  <c r="B21" i="10"/>
  <c r="B22" i="10" s="1"/>
  <c r="B23" i="10" s="1"/>
  <c r="M7" i="7"/>
  <c r="M30" i="5"/>
  <c r="M13" i="7"/>
  <c r="M27" i="5"/>
  <c r="M32" i="7"/>
  <c r="D13" i="14"/>
  <c r="C15" i="14"/>
  <c r="B16" i="2" s="1"/>
  <c r="C16" i="2" s="1"/>
  <c r="S26" i="5"/>
  <c r="Y15" i="6"/>
  <c r="Y10" i="6"/>
  <c r="X32" i="5"/>
  <c r="X35" i="5" s="1"/>
  <c r="X31" i="5"/>
  <c r="Z24" i="5"/>
  <c r="Z7" i="6"/>
  <c r="Z8" i="6" s="1"/>
  <c r="Z9" i="6"/>
  <c r="Z23" i="5"/>
  <c r="Z22" i="5"/>
  <c r="AA21" i="5"/>
  <c r="Z24" i="6"/>
  <c r="Z25" i="5"/>
  <c r="Z12" i="6"/>
  <c r="S27" i="5"/>
  <c r="S30" i="5"/>
  <c r="S33" i="5"/>
  <c r="Y26" i="5"/>
  <c r="M6" i="7"/>
  <c r="M7" i="4"/>
  <c r="M26" i="5"/>
  <c r="Q20" i="6"/>
  <c r="P21" i="6"/>
  <c r="M10" i="6"/>
  <c r="M15" i="6"/>
  <c r="D14" i="11"/>
  <c r="D16" i="11" s="1"/>
  <c r="H19" i="4"/>
  <c r="F14" i="11"/>
  <c r="F16" i="11" s="1"/>
  <c r="J19" i="4"/>
  <c r="L11" i="6"/>
  <c r="L14" i="6"/>
  <c r="L14" i="4" s="1"/>
  <c r="L18" i="8"/>
  <c r="L20" i="8" s="1"/>
  <c r="G33" i="12"/>
  <c r="K35" i="5"/>
  <c r="K22" i="4" s="1"/>
  <c r="K35" i="7"/>
  <c r="K36" i="7" s="1"/>
  <c r="K8" i="7"/>
  <c r="K9" i="4"/>
  <c r="K41" i="7"/>
  <c r="K42" i="7" s="1"/>
  <c r="L33" i="7"/>
  <c r="G17" i="12"/>
  <c r="G18" i="12" s="1"/>
  <c r="G19" i="12" s="1"/>
  <c r="G21" i="12" s="1"/>
  <c r="J13" i="4"/>
  <c r="J22" i="7"/>
  <c r="J23" i="7" s="1"/>
  <c r="J19" i="7"/>
  <c r="J20" i="7" s="1"/>
  <c r="J25" i="6"/>
  <c r="J14" i="7"/>
  <c r="M24" i="8"/>
  <c r="M12" i="7"/>
  <c r="M15" i="4"/>
  <c r="Y33" i="5"/>
  <c r="Y27" i="5"/>
  <c r="Y30" i="5"/>
  <c r="W20" i="6"/>
  <c r="V21" i="6"/>
  <c r="R11" i="6"/>
  <c r="R13" i="6" s="1"/>
  <c r="R25" i="6" s="1"/>
  <c r="R14" i="6"/>
  <c r="S15" i="6"/>
  <c r="S10" i="6"/>
  <c r="Y24" i="5"/>
  <c r="H26" i="7"/>
  <c r="H28" i="7"/>
  <c r="G28" i="7"/>
  <c r="G26" i="7"/>
  <c r="I28" i="7"/>
  <c r="I26" i="7"/>
  <c r="M24" i="5"/>
  <c r="F36" i="12"/>
  <c r="F38" i="12" s="1"/>
  <c r="R32" i="5"/>
  <c r="R35" i="5" s="1"/>
  <c r="R31" i="5"/>
  <c r="X14" i="6"/>
  <c r="X11" i="6"/>
  <c r="X13" i="6" s="1"/>
  <c r="X25" i="6" s="1"/>
  <c r="L34" i="7"/>
  <c r="L31" i="5"/>
  <c r="L32" i="5" s="1"/>
  <c r="K22" i="8"/>
  <c r="M19" i="8"/>
  <c r="M21" i="8" s="1"/>
  <c r="M8" i="8"/>
  <c r="M10" i="8" s="1"/>
  <c r="K14" i="8" l="1"/>
  <c r="K12" i="8"/>
  <c r="L35" i="5"/>
  <c r="L22" i="4" s="1"/>
  <c r="H33" i="12"/>
  <c r="L8" i="7"/>
  <c r="L35" i="7"/>
  <c r="L36" i="7" s="1"/>
  <c r="L9" i="4"/>
  <c r="L41" i="7"/>
  <c r="L42" i="7" s="1"/>
  <c r="M33" i="7"/>
  <c r="Z27" i="5"/>
  <c r="Z33" i="5"/>
  <c r="Z30" i="5"/>
  <c r="H17" i="12"/>
  <c r="H18" i="12" s="1"/>
  <c r="K13" i="4"/>
  <c r="K19" i="7"/>
  <c r="K20" i="7" s="1"/>
  <c r="K22" i="7"/>
  <c r="K23" i="7" s="1"/>
  <c r="K25" i="6"/>
  <c r="K14" i="7"/>
  <c r="L7" i="8"/>
  <c r="L9" i="8" s="1"/>
  <c r="L11" i="8" s="1"/>
  <c r="L13" i="6"/>
  <c r="S32" i="5"/>
  <c r="S35" i="5" s="1"/>
  <c r="S31" i="5"/>
  <c r="AA22" i="5"/>
  <c r="AA9" i="6"/>
  <c r="AA23" i="5"/>
  <c r="AA7" i="6"/>
  <c r="AA8" i="6" s="1"/>
  <c r="AA25" i="5"/>
  <c r="AA24" i="6"/>
  <c r="AA24" i="5"/>
  <c r="AA12" i="6"/>
  <c r="T24" i="5"/>
  <c r="M11" i="7"/>
  <c r="R20" i="6"/>
  <c r="Q21" i="6"/>
  <c r="M18" i="8"/>
  <c r="M20" i="8" s="1"/>
  <c r="M14" i="6"/>
  <c r="M14" i="4" s="1"/>
  <c r="M11" i="6"/>
  <c r="Z26" i="5"/>
  <c r="M31" i="5"/>
  <c r="M32" i="5"/>
  <c r="M34" i="7"/>
  <c r="T10" i="6"/>
  <c r="T15" i="6"/>
  <c r="L22" i="8"/>
  <c r="S11" i="6"/>
  <c r="S13" i="6" s="1"/>
  <c r="S25" i="6" s="1"/>
  <c r="S14" i="6"/>
  <c r="Z10" i="6"/>
  <c r="Z15" i="6"/>
  <c r="H19" i="12"/>
  <c r="H21" i="12" s="1"/>
  <c r="J26" i="7"/>
  <c r="J28" i="7"/>
  <c r="Y14" i="6"/>
  <c r="Y11" i="6"/>
  <c r="Y13" i="6" s="1"/>
  <c r="Y25" i="6" s="1"/>
  <c r="T27" i="5"/>
  <c r="T30" i="5"/>
  <c r="T33" i="5"/>
  <c r="X20" i="6"/>
  <c r="W21" i="6"/>
  <c r="I16" i="12"/>
  <c r="M17" i="8"/>
  <c r="M6" i="8"/>
  <c r="M18" i="7"/>
  <c r="M10" i="4"/>
  <c r="Y31" i="5"/>
  <c r="Y32" i="5" s="1"/>
  <c r="Y35" i="5" s="1"/>
  <c r="K18" i="4"/>
  <c r="K25" i="8"/>
  <c r="G15" i="10"/>
  <c r="G17" i="10" s="1"/>
  <c r="G34" i="12"/>
  <c r="G35" i="12" s="1"/>
  <c r="G36" i="12" s="1"/>
  <c r="G38" i="12" s="1"/>
  <c r="K20" i="6"/>
  <c r="J21" i="6"/>
  <c r="J37" i="7"/>
  <c r="J38" i="7" s="1"/>
  <c r="J43" i="7" s="1"/>
  <c r="L12" i="8" l="1"/>
  <c r="L14" i="8"/>
  <c r="S20" i="6"/>
  <c r="R21" i="6"/>
  <c r="H34" i="12"/>
  <c r="H35" i="12" s="1"/>
  <c r="H36" i="12" s="1"/>
  <c r="H38" i="12" s="1"/>
  <c r="L20" i="6"/>
  <c r="K21" i="6"/>
  <c r="K37" i="7"/>
  <c r="K38" i="7" s="1"/>
  <c r="K43" i="7" s="1"/>
  <c r="H15" i="10"/>
  <c r="H17" i="10" s="1"/>
  <c r="L18" i="4"/>
  <c r="L25" i="8"/>
  <c r="I17" i="12"/>
  <c r="I18" i="12" s="1"/>
  <c r="I19" i="12" s="1"/>
  <c r="L13" i="4"/>
  <c r="L19" i="7"/>
  <c r="L20" i="7" s="1"/>
  <c r="L22" i="7"/>
  <c r="L23" i="7" s="1"/>
  <c r="L25" i="6"/>
  <c r="L14" i="7"/>
  <c r="T31" i="5"/>
  <c r="T32" i="5" s="1"/>
  <c r="T35" i="5" s="1"/>
  <c r="T11" i="6"/>
  <c r="T13" i="6" s="1"/>
  <c r="T25" i="6" s="1"/>
  <c r="T14" i="6"/>
  <c r="M8" i="7"/>
  <c r="I33" i="12"/>
  <c r="B20" i="11"/>
  <c r="B21" i="11" s="1"/>
  <c r="B22" i="11" s="1"/>
  <c r="M9" i="4"/>
  <c r="M35" i="7"/>
  <c r="M36" i="7" s="1"/>
  <c r="M35" i="5"/>
  <c r="M22" i="4" s="1"/>
  <c r="M41" i="7"/>
  <c r="M42" i="7" s="1"/>
  <c r="Y20" i="6"/>
  <c r="X21" i="6"/>
  <c r="H17" i="15"/>
  <c r="C15" i="15"/>
  <c r="F8" i="15"/>
  <c r="C7" i="15"/>
  <c r="D8" i="15"/>
  <c r="AA33" i="5"/>
  <c r="AA27" i="5"/>
  <c r="AA30" i="5"/>
  <c r="AA15" i="6"/>
  <c r="AA10" i="6"/>
  <c r="G14" i="11"/>
  <c r="G16" i="11" s="1"/>
  <c r="K19" i="4"/>
  <c r="K26" i="7"/>
  <c r="K28" i="7"/>
  <c r="F15" i="15"/>
  <c r="B15" i="15"/>
  <c r="D21" i="15"/>
  <c r="C20" i="15"/>
  <c r="D7" i="15"/>
  <c r="C17" i="15"/>
  <c r="E20" i="15"/>
  <c r="G6" i="15"/>
  <c r="B17" i="15"/>
  <c r="G16" i="15"/>
  <c r="B19" i="15"/>
  <c r="C10" i="15"/>
  <c r="E6" i="15"/>
  <c r="AA26" i="5"/>
  <c r="Z31" i="5"/>
  <c r="Z32" i="5"/>
  <c r="Z35" i="5" s="1"/>
  <c r="M13" i="6"/>
  <c r="M7" i="8"/>
  <c r="M9" i="8" s="1"/>
  <c r="M11" i="8" s="1"/>
  <c r="M22" i="8"/>
  <c r="Z14" i="6"/>
  <c r="Z11" i="6"/>
  <c r="Z13" i="6" s="1"/>
  <c r="Z25" i="6" s="1"/>
  <c r="B24" i="12" l="1"/>
  <c r="B25" i="12" s="1"/>
  <c r="I21" i="12"/>
  <c r="B23" i="12" s="1"/>
  <c r="B26" i="12" s="1"/>
  <c r="B27" i="12" s="1"/>
  <c r="B28" i="12" s="1"/>
  <c r="B29" i="12" s="1"/>
  <c r="B14" i="2" s="1"/>
  <c r="C14" i="2" s="1"/>
  <c r="M14" i="8"/>
  <c r="M12" i="8"/>
  <c r="AA32" i="5"/>
  <c r="AA35" i="5" s="1"/>
  <c r="AA31" i="5"/>
  <c r="H14" i="11"/>
  <c r="H16" i="11" s="1"/>
  <c r="L19" i="4"/>
  <c r="I34" i="12"/>
  <c r="I35" i="12" s="1"/>
  <c r="I36" i="12" s="1"/>
  <c r="M20" i="6"/>
  <c r="L21" i="6"/>
  <c r="L37" i="7"/>
  <c r="L38" i="7" s="1"/>
  <c r="L43" i="7" s="1"/>
  <c r="M25" i="8"/>
  <c r="I15" i="10"/>
  <c r="M18" i="4"/>
  <c r="H19" i="15"/>
  <c r="G19" i="15"/>
  <c r="B9" i="15"/>
  <c r="B21" i="15"/>
  <c r="C16" i="15"/>
  <c r="H7" i="15"/>
  <c r="H15" i="15"/>
  <c r="D9" i="15"/>
  <c r="H6" i="15"/>
  <c r="C21" i="15"/>
  <c r="C6" i="15"/>
  <c r="B7" i="15"/>
  <c r="E15" i="15"/>
  <c r="D20" i="15"/>
  <c r="E7" i="15"/>
  <c r="B16" i="15"/>
  <c r="B10" i="15"/>
  <c r="D18" i="15"/>
  <c r="D6" i="15"/>
  <c r="F21" i="15"/>
  <c r="H21" i="15"/>
  <c r="H8" i="15"/>
  <c r="G9" i="15"/>
  <c r="D10" i="15"/>
  <c r="F16" i="15"/>
  <c r="H16" i="15"/>
  <c r="D16" i="15"/>
  <c r="G8" i="15"/>
  <c r="G21" i="15"/>
  <c r="E9" i="15"/>
  <c r="F10" i="15"/>
  <c r="C19" i="15"/>
  <c r="E19" i="15"/>
  <c r="D17" i="15"/>
  <c r="F6" i="15"/>
  <c r="B6" i="15"/>
  <c r="D19" i="15"/>
  <c r="G17" i="15"/>
  <c r="G15" i="15"/>
  <c r="F9" i="15"/>
  <c r="G7" i="15"/>
  <c r="H20" i="15"/>
  <c r="E18" i="15"/>
  <c r="B18" i="15"/>
  <c r="B8" i="15"/>
  <c r="E8" i="15"/>
  <c r="E17" i="15"/>
  <c r="H9" i="15"/>
  <c r="F20" i="15"/>
  <c r="H10" i="15"/>
  <c r="C8" i="15"/>
  <c r="E16" i="15"/>
  <c r="E10" i="15"/>
  <c r="H18" i="15"/>
  <c r="G10" i="15"/>
  <c r="E21" i="15"/>
  <c r="F18" i="15"/>
  <c r="D15" i="15"/>
  <c r="G20" i="15"/>
  <c r="F17" i="15"/>
  <c r="B20" i="15"/>
  <c r="C18" i="15"/>
  <c r="T20" i="6"/>
  <c r="T21" i="6" s="1"/>
  <c r="S21" i="6"/>
  <c r="F19" i="15"/>
  <c r="F7" i="15"/>
  <c r="M13" i="4"/>
  <c r="M22" i="7"/>
  <c r="M23" i="7" s="1"/>
  <c r="M19" i="7"/>
  <c r="M20" i="7" s="1"/>
  <c r="M25" i="6"/>
  <c r="M14" i="7"/>
  <c r="G18" i="15"/>
  <c r="L26" i="7"/>
  <c r="L28" i="7"/>
  <c r="Z20" i="6"/>
  <c r="Y21" i="6"/>
  <c r="AA11" i="6"/>
  <c r="AA13" i="6" s="1"/>
  <c r="AA25" i="6" s="1"/>
  <c r="AA14" i="6"/>
  <c r="C9" i="15"/>
  <c r="B41" i="12" l="1"/>
  <c r="B42" i="12" s="1"/>
  <c r="I38" i="12"/>
  <c r="B40" i="12" s="1"/>
  <c r="B43" i="12" s="1"/>
  <c r="B44" i="12" s="1"/>
  <c r="B15" i="2" s="1"/>
  <c r="C15" i="2" s="1"/>
  <c r="M21" i="6"/>
  <c r="M37" i="7"/>
  <c r="M38" i="7" s="1"/>
  <c r="M43" i="7" s="1"/>
  <c r="AA20" i="6"/>
  <c r="AA21" i="6" s="1"/>
  <c r="Z21" i="6"/>
  <c r="M28" i="7"/>
  <c r="M26" i="7"/>
  <c r="B24" i="10"/>
  <c r="B25" i="10" s="1"/>
  <c r="B26" i="10" s="1"/>
  <c r="I17" i="10"/>
  <c r="B20" i="10" s="1"/>
  <c r="B28" i="10" s="1"/>
  <c r="I14" i="11"/>
  <c r="M19" i="4"/>
  <c r="I16" i="11" l="1"/>
  <c r="B19" i="11" s="1"/>
  <c r="B23" i="11"/>
  <c r="B24" i="11" s="1"/>
  <c r="B25" i="11" s="1"/>
  <c r="B30" i="10"/>
  <c r="B31" i="10" s="1"/>
  <c r="B5" i="13"/>
  <c r="B7" i="13" s="1"/>
  <c r="B12" i="13" s="1"/>
  <c r="B32" i="10" l="1"/>
  <c r="B12" i="2"/>
  <c r="C12" i="2" s="1"/>
  <c r="B18" i="13"/>
  <c r="B17" i="13"/>
  <c r="B15" i="13"/>
  <c r="B27" i="11"/>
  <c r="B28" i="11" s="1"/>
  <c r="B29" i="11" l="1"/>
  <c r="B13" i="2"/>
  <c r="C13" i="2" s="1"/>
  <c r="B7" i="2"/>
  <c r="B18" i="2" l="1"/>
  <c r="C18" i="2" s="1"/>
  <c r="B8" i="2"/>
</calcChain>
</file>

<file path=xl/sharedStrings.xml><?xml version="1.0" encoding="utf-8"?>
<sst xmlns="http://schemas.openxmlformats.org/spreadsheetml/2006/main" count="610" uniqueCount="412">
  <si>
    <t>AbbVie Inc. (NYSE: ABBV) — IMCP Equity Research Model</t>
  </si>
  <si>
    <t>UWM Lubar School of Business — Investment Management Certificate Program</t>
  </si>
  <si>
    <t>Hybrid model: IMCP invested-capital framework + sell-side DCF valuation suite</t>
  </si>
  <si>
    <t>Analyst: [name]  |  June 2026</t>
  </si>
  <si>
    <t>WHAT THIS MODEL CONTAINS</t>
  </si>
  <si>
    <t>• Fin-Summary, Fin-Forecast, Fin-Capital, Fin-Ratios, Fin-FCF: IMCP invested-capital statements</t>
  </si>
  <si>
    <t>• Bear / Base / Bull scenarios shown as parallel columns across all IMCP tabs</t>
  </si>
  <si>
    <t>• Invested capital framework: NOWC + NFA = IC, asset-turnover-driven forecasts</t>
  </si>
  <si>
    <t>• ROIC decomposition (3 methods), 5-stage and 3-stage ROE, sustainable growth rate</t>
  </si>
  <si>
    <t>• FCFF and FCFE computed two ways (ex cash/debt and with cash/debt)</t>
  </si>
  <si>
    <t>• Drivers tab: sell-side scenario toggle and WACC build-up</t>
  </si>
  <si>
    <t>• DCF-FCFF and DCF-FCFE with 7-year explicit forecast + terminal value</t>
  </si>
  <si>
    <t>• EVA / Residual Income and MVA cross-checks</t>
  </si>
  <si>
    <t>• Trading comps and a 20,000-draw Monte Carlo intrinsic value distribution</t>
  </si>
  <si>
    <t>KEY ANCHORS (FY2025A)</t>
  </si>
  <si>
    <t xml:space="preserve">   Current share price</t>
  </si>
  <si>
    <t>$224.77</t>
  </si>
  <si>
    <t xml:space="preserve">   Diluted shares (mm)</t>
  </si>
  <si>
    <t>1,773</t>
  </si>
  <si>
    <t xml:space="preserve">   Sales</t>
  </si>
  <si>
    <t>$61,160mm</t>
  </si>
  <si>
    <t xml:space="preserve">   EBIT / EBIT margin</t>
  </si>
  <si>
    <t>$20,913mm / 34.2%</t>
  </si>
  <si>
    <t xml:space="preserve">   Net income (GAAP)</t>
  </si>
  <si>
    <t>$4,186mm</t>
  </si>
  <si>
    <t xml:space="preserve">   Net debt</t>
  </si>
  <si>
    <t>$63,122mm</t>
  </si>
  <si>
    <t xml:space="preserve">   Invested capital (ex cash)</t>
  </si>
  <si>
    <t>~$117,550mm</t>
  </si>
  <si>
    <t xml:space="preserve">   WACC</t>
  </si>
  <si>
    <t>7.6%</t>
  </si>
  <si>
    <t xml:space="preserve">   Cost of equity</t>
  </si>
  <si>
    <t>8.1%</t>
  </si>
  <si>
    <t>SOURCES &amp; NOTES</t>
  </si>
  <si>
    <t>– ABBV 10-K FY2025 and FactSet Fundamentals export</t>
  </si>
  <si>
    <t>– GAAP net income is depressed by acquired IPR&amp;D and Allergan intangible amortization;</t>
  </si>
  <si>
    <t xml:space="preserve">   forward tax rate normalized to 15% (AbbVie recurring effective rate)</t>
  </si>
  <si>
    <t>– NFA carries ~$110B Allergan goodwill/intangibles; tangible book value is negative</t>
  </si>
  <si>
    <t>– Peer multiples and beta: user-supplied / FactSet consensus</t>
  </si>
  <si>
    <t>Color key: blue = input, black = formula, green = cross-tab link, gray = memo. Not investment advice.</t>
  </si>
  <si>
    <t>AbbVie Inc. (NYSE: ABBV) — Valuation Dashboard</t>
  </si>
  <si>
    <t>All methods live. Change Drivers!D6 scenario or any blue input and this updates.</t>
  </si>
  <si>
    <t>KEY OUTPUTS</t>
  </si>
  <si>
    <t>Blended fair value ($)</t>
  </si>
  <si>
    <t>Upside / (downside)</t>
  </si>
  <si>
    <t>VALUATION BY METHOD</t>
  </si>
  <si>
    <t>Method</t>
  </si>
  <si>
    <t>Per share</t>
  </si>
  <si>
    <t>Upside</t>
  </si>
  <si>
    <t>DCF — FCFF (firm)</t>
  </si>
  <si>
    <t>DCF — FCFE (equity)</t>
  </si>
  <si>
    <t>EVA / MVA</t>
  </si>
  <si>
    <t>Residual income</t>
  </si>
  <si>
    <t>Trading comps (mid)</t>
  </si>
  <si>
    <t>Monte Carlo (median)</t>
  </si>
  <si>
    <t>Blended fair value</t>
  </si>
  <si>
    <t>Current price</t>
  </si>
  <si>
    <t>AbbVie Inc. (ABBV) — Driver &amp; Assumption Engine</t>
  </si>
  <si>
    <t>Blue inputs editable. Scenario toggle in D6 drives sell-side tabs. $ in millions.</t>
  </si>
  <si>
    <t>($ in millions)</t>
  </si>
  <si>
    <t>2024A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</si>
  <si>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</si>
  <si>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</si>
  <si>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</si>
  <si>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</si>
  <si>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</si>
  <si>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</si>
  <si>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</si>
  <si>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</si>
  <si>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1 — SCENARIO &amp; MARKET</t>
  </si>
  <si>
    <t>Scenario (1=Bear, 2=Base, 3=Bull)</t>
  </si>
  <si>
    <t>Active scenario</t>
  </si>
  <si>
    <t>Current share price ($)</t>
  </si>
  <si>
    <t>Diluted shares (mm)</t>
  </si>
  <si>
    <t>Net debt ($mm)</t>
  </si>
  <si>
    <t>Market cap ($mm)</t>
  </si>
  <si>
    <t>Enterprise value ($mm)</t>
  </si>
  <si>
    <t>2 — WACC / DISCOUNT RATE</t>
  </si>
  <si>
    <t>Risk-free rate</t>
  </si>
  <si>
    <t>Equity risk premium</t>
  </si>
  <si>
    <t>Beta</t>
  </si>
  <si>
    <t>Size premium</t>
  </si>
  <si>
    <t>Cost of equity (CAPM)</t>
  </si>
  <si>
    <t>Pre-tax cost of debt</t>
  </si>
  <si>
    <t>Weight equity</t>
  </si>
  <si>
    <t>Weight debt</t>
  </si>
  <si>
    <t>Marginal tax rate</t>
  </si>
  <si>
    <t>After-tax cost of debt</t>
  </si>
  <si>
    <t>WACC</t>
  </si>
  <si>
    <t>3 — REVENUE GROWTH (toggle vectors)</t>
  </si>
  <si>
    <t>Bear: revenue growth %</t>
  </si>
  <si>
    <t>Base: revenue growth %</t>
  </si>
  <si>
    <t>Bull: revenue growth %</t>
  </si>
  <si>
    <t>ACTIVE revenue growth %</t>
  </si>
  <si>
    <t>4 — MARGIN &amp; TERMINAL</t>
  </si>
  <si>
    <t>EBIT margin % (active, base path)</t>
  </si>
  <si>
    <t>Tax rate % (normalized)</t>
  </si>
  <si>
    <t>Terminal growth g %</t>
  </si>
  <si>
    <t>Terminal EV/EBIT (x)</t>
  </si>
  <si>
    <t>Terminal P/E (x)</t>
  </si>
  <si>
    <t>Terminal P/S (x)</t>
  </si>
  <si>
    <t>Terminal P/B (x)</t>
  </si>
  <si>
    <t>5 — CAPITAL RETURNS</t>
  </si>
  <si>
    <t>Buybacks ($mm/yr)</t>
  </si>
  <si>
    <t>DPS 2026E ($)</t>
  </si>
  <si>
    <t>DPS growth %/yr</t>
  </si>
  <si>
    <t>6 — PEER MULTIPLES (comps)</t>
  </si>
  <si>
    <t>Peer EV/EBITDA low</t>
  </si>
  <si>
    <t>Peer EV/EBITDA high</t>
  </si>
  <si>
    <t>Peer P/E low</t>
  </si>
  <si>
    <t>Peer P/E high</t>
  </si>
  <si>
    <t>Financial Summary — ABBV</t>
  </si>
  <si>
    <t>Super-summary, actuals + Base case. $ in millions except per share.</t>
  </si>
  <si>
    <t>2021A</t>
  </si>
  <si>
    <t>2022A</t>
  </si>
  <si>
    <t>2023A</t>
  </si>
  <si>
    <t>INCOME STATEMENT</t>
  </si>
  <si>
    <t>Sales</t>
  </si>
  <si>
    <t>Gross profit</t>
  </si>
  <si>
    <t>EBIT</t>
  </si>
  <si>
    <t>Net income</t>
  </si>
  <si>
    <t>NOPAT</t>
  </si>
  <si>
    <t>CAPITAL</t>
  </si>
  <si>
    <t>Invested capital (ex cash)</t>
  </si>
  <si>
    <t>Invested capital (w cash)</t>
  </si>
  <si>
    <t>Short/LT debt</t>
  </si>
  <si>
    <t>FREE CASH FLOW (with cash/debt)</t>
  </si>
  <si>
    <t>FCFF</t>
  </si>
  <si>
    <t>FCFE</t>
  </si>
  <si>
    <t>PER SHARE</t>
  </si>
  <si>
    <t>EPS (diluted)</t>
  </si>
  <si>
    <t>DPS</t>
  </si>
  <si>
    <t>Financial Forecast — ABBV</t>
  </si>
  <si>
    <t>Bear/Base/Bull assumptions and full income statement. Forward tax normalized to 15%. $mm.</t>
  </si>
  <si>
    <t>BASE CASE</t>
  </si>
  <si>
    <t>BULL CASE</t>
  </si>
  <si>
    <t>BEAR CASE</t>
  </si>
  <si>
    <t>INCOME STATEMENT ASSUMPTIONS</t>
  </si>
  <si>
    <t>Sales growth %</t>
  </si>
  <si>
    <t>EBIT margin %</t>
  </si>
  <si>
    <t>Gross margin %</t>
  </si>
  <si>
    <t>Rate on debt %</t>
  </si>
  <si>
    <t>CAPITAL ASSUMPTIONS</t>
  </si>
  <si>
    <t>Op assets ex cash % of sales</t>
  </si>
  <si>
    <t>Op liabilities % of sales</t>
  </si>
  <si>
    <t>NFA turnover (S/NFA)</t>
  </si>
  <si>
    <t>Buyback share price ($)</t>
  </si>
  <si>
    <t>DPS ($)</t>
  </si>
  <si>
    <t xml:space="preserve">  growth %</t>
  </si>
  <si>
    <t>Direct costs</t>
  </si>
  <si>
    <t>SG&amp;A, R&amp;D, and other</t>
  </si>
  <si>
    <t xml:space="preserve">  EBIT margin %</t>
  </si>
  <si>
    <t>Total debt (memo)</t>
  </si>
  <si>
    <t>Interest and other</t>
  </si>
  <si>
    <t>EBT</t>
  </si>
  <si>
    <t>Taxes</t>
  </si>
  <si>
    <t>NOPAT = EBIT×(1-tax) (memo)</t>
  </si>
  <si>
    <t>Capital Structure — ABBV</t>
  </si>
  <si>
    <t>IMCP invested-capital framework. NOWC + NFA = IC. NFA carries Allergan intangibles. $mm.</t>
  </si>
  <si>
    <t>OPERATING CAPITAL</t>
  </si>
  <si>
    <t>Cash &amp; equivalents</t>
  </si>
  <si>
    <t>Operating assets ex cash</t>
  </si>
  <si>
    <t>Operating assets (total)</t>
  </si>
  <si>
    <t>Operating liabilities</t>
  </si>
  <si>
    <t>NOWC (incl cash)</t>
  </si>
  <si>
    <t>NWC (ex cash)</t>
  </si>
  <si>
    <t>NFA (net fixed assets)</t>
  </si>
  <si>
    <t>Invested capital (with cash)</t>
  </si>
  <si>
    <t>Total assets</t>
  </si>
  <si>
    <t>SUPPLIED CAPITAL</t>
  </si>
  <si>
    <t>Other liabilities</t>
  </si>
  <si>
    <t>Equity</t>
  </si>
  <si>
    <t>Total supplied capital</t>
  </si>
  <si>
    <t>TURNOVER MEMOS</t>
  </si>
  <si>
    <t>IC turnover ex cash (S/IC)</t>
  </si>
  <si>
    <t>Ratios — ABBV</t>
  </si>
  <si>
    <t>Profitability, activity, solvency, ROIC decomposition, ROE, SGR. Actuals + Base case.</t>
  </si>
  <si>
    <t>PROFITABILITY</t>
  </si>
  <si>
    <t>Gross margin</t>
  </si>
  <si>
    <t>Operating (EBIT) margin</t>
  </si>
  <si>
    <t>Net profit margin</t>
  </si>
  <si>
    <t>SOLVENCY</t>
  </si>
  <si>
    <t>Debt to assets</t>
  </si>
  <si>
    <t>Debt to EBIT</t>
  </si>
  <si>
    <t>EBIT / interest (coverage)</t>
  </si>
  <si>
    <t>Debt / invested capital</t>
  </si>
  <si>
    <t>ROIC DECOMPOSITION</t>
  </si>
  <si>
    <t>Method 1 — Avg IC ex cash</t>
  </si>
  <si>
    <t xml:space="preserve">  NOPAT / sales</t>
  </si>
  <si>
    <t xml:space="preserve">  Sales / avg IC ex cash</t>
  </si>
  <si>
    <t xml:space="preserve">  ROIC (avg IC ex cash)</t>
  </si>
  <si>
    <t>Method 2 — EOY IC ex cash</t>
  </si>
  <si>
    <t xml:space="preserve">  Sales / EOY IC ex cash</t>
  </si>
  <si>
    <t xml:space="preserve">  ROIC (EOY IC ex cash)</t>
  </si>
  <si>
    <t>EVA SPREAD</t>
  </si>
  <si>
    <t>ROIC (avg IC ex cash)</t>
  </si>
  <si>
    <t>EVA spread (ROIC - WACC)</t>
  </si>
  <si>
    <t>ROE (DuPont)</t>
  </si>
  <si>
    <t>5-stage:</t>
  </si>
  <si>
    <t xml:space="preserve">  EBIT / Sales</t>
  </si>
  <si>
    <t xml:space="preserve">  Sales / avg Assets</t>
  </si>
  <si>
    <t xml:space="preserve">  EBT / EBIT</t>
  </si>
  <si>
    <t xml:space="preserve">  NI / EBT</t>
  </si>
  <si>
    <t xml:space="preserve">  ROA (= product)</t>
  </si>
  <si>
    <t xml:space="preserve">  avg Assets / avg Equity</t>
  </si>
  <si>
    <t xml:space="preserve">  ROE (5-stage)</t>
  </si>
  <si>
    <t>SUSTAINABLE GROWTH</t>
  </si>
  <si>
    <t>Payout ratio</t>
  </si>
  <si>
    <t>Retention ratio</t>
  </si>
  <si>
    <t>Sustainable growth rate</t>
  </si>
  <si>
    <t>Free Cash Flow — ABBV</t>
  </si>
  <si>
    <t>FCFF and FCFE, ex cash/debt and with cash/debt. Actuals + Base case. $mm.</t>
  </si>
  <si>
    <t>WITHOUT CASH AND DEBT</t>
  </si>
  <si>
    <t>NWC ex cash (EOY)</t>
  </si>
  <si>
    <t>NFA (EOY)</t>
  </si>
  <si>
    <t>- Change in NWC</t>
  </si>
  <si>
    <t>- Change in NFA</t>
  </si>
  <si>
    <t>FCFF (ex cash/debt)</t>
  </si>
  <si>
    <t xml:space="preserve">  FCFF/share</t>
  </si>
  <si>
    <t>- After-tax interest</t>
  </si>
  <si>
    <t>FCFE (ex cash/debt)</t>
  </si>
  <si>
    <t>WITH CASH AND DEBT</t>
  </si>
  <si>
    <t>NOWC (EOY)</t>
  </si>
  <si>
    <t>- Change in NOWC</t>
  </si>
  <si>
    <t>FCFF (with cash/debt)</t>
  </si>
  <si>
    <t>+ Net new debt</t>
  </si>
  <si>
    <t>FCFE (with cash/debt)</t>
  </si>
  <si>
    <t>AbbVie — Market Profile &amp; Historical Data</t>
  </si>
  <si>
    <t>MARKET PROFILE</t>
  </si>
  <si>
    <t>Closing price</t>
  </si>
  <si>
    <t>Shares outstanding (M)</t>
  </si>
  <si>
    <t>Market cap ($B)</t>
  </si>
  <si>
    <t>~$398B</t>
  </si>
  <si>
    <t>Enterprise value ($B)</t>
  </si>
  <si>
    <t>~$461B</t>
  </si>
  <si>
    <t>EV/EBITDA (NTM)</t>
  </si>
  <si>
    <t>~16x</t>
  </si>
  <si>
    <t>Dividend yield</t>
  </si>
  <si>
    <t>~3.0%</t>
  </si>
  <si>
    <t>HISTORICAL SALES, EBIT, ROIC</t>
  </si>
  <si>
    <t>Year</t>
  </si>
  <si>
    <t>EBIT %</t>
  </si>
  <si>
    <t>DCF — Firm (FCFF)</t>
  </si>
  <si>
    <t>FCFF discounted at WACC. 7 explicit years + terminal value (EV/EBIT and constant growth). $mm.</t>
  </si>
  <si>
    <t>g</t>
  </si>
  <si>
    <t>EXPLICIT FORECAST</t>
  </si>
  <si>
    <t>Period (t)</t>
  </si>
  <si>
    <t>FCFF (base, with cash/debt)</t>
  </si>
  <si>
    <t>Discount factor @ WACC</t>
  </si>
  <si>
    <t>PV of FCFF</t>
  </si>
  <si>
    <t>VALUATION</t>
  </si>
  <si>
    <t>Sum PV explicit FCFF</t>
  </si>
  <si>
    <t>Terminal EBIT (yr7)</t>
  </si>
  <si>
    <t>Terminal value (EV/EBIT)</t>
  </si>
  <si>
    <t>PV terminal (EV/EBIT)</t>
  </si>
  <si>
    <t>Terminal FCFF (yr7×(1+g))</t>
  </si>
  <si>
    <t>Terminal value (const growth)</t>
  </si>
  <si>
    <t>PV terminal (const growth)</t>
  </si>
  <si>
    <t>Enterprise value (blend)</t>
  </si>
  <si>
    <t>- Net debt</t>
  </si>
  <si>
    <t>Equity value</t>
  </si>
  <si>
    <t>Value per share</t>
  </si>
  <si>
    <t>DCF — Equity (FCFE)</t>
  </si>
  <si>
    <t>FCFE discounted at cost of equity. Terminal value via P/E and constant growth. $mm.</t>
  </si>
  <si>
    <t>Discount factor @ Ke</t>
  </si>
  <si>
    <t>PV of FCFE</t>
  </si>
  <si>
    <t>Sum PV explicit FCFE</t>
  </si>
  <si>
    <t>Terminal net income (yr7)</t>
  </si>
  <si>
    <t>Terminal value (P/E)</t>
  </si>
  <si>
    <t>PV terminal (P/E)</t>
  </si>
  <si>
    <t>Terminal FCFE (yr7×(1+g))</t>
  </si>
  <si>
    <t>Equity value (blend)</t>
  </si>
  <si>
    <t>EVA &amp; Residual Income</t>
  </si>
  <si>
    <t>EVA = NOPAT - WACC×IC. Residual Income = NI - Ke×BV. $mm.</t>
  </si>
  <si>
    <t>EVA (firm)</t>
  </si>
  <si>
    <t>Beginning IC</t>
  </si>
  <si>
    <t>Capital charge (WACC×IC)</t>
  </si>
  <si>
    <t>EVA</t>
  </si>
  <si>
    <t>Discount factor</t>
  </si>
  <si>
    <t>PV of EVA</t>
  </si>
  <si>
    <t>Sum PV EVA</t>
  </si>
  <si>
    <t>Terminal EVA</t>
  </si>
  <si>
    <t>PV terminal EVA</t>
  </si>
  <si>
    <t>MVA = ΣPV + PV term</t>
  </si>
  <si>
    <t>Enterprise value = IC0 + MVA</t>
  </si>
  <si>
    <t>Value per share (EVA)</t>
  </si>
  <si>
    <t>RESIDUAL INCOME (equity)</t>
  </si>
  <si>
    <t>Beginning book value</t>
  </si>
  <si>
    <t>Equity charge (Ke×BV)</t>
  </si>
  <si>
    <t>PV of RI</t>
  </si>
  <si>
    <t>Sum PV RI</t>
  </si>
  <si>
    <t>Terminal RI</t>
  </si>
  <si>
    <t>PV terminal RI</t>
  </si>
  <si>
    <t>Equity value = BV0 + ΣPV + term</t>
  </si>
  <si>
    <t>Value per share (RI)</t>
  </si>
  <si>
    <t>Market Value Added (MVA)</t>
  </si>
  <si>
    <t>Operating + non-operating value vs book. Sources and claims on value. $mm.</t>
  </si>
  <si>
    <t>SOURCES OF VALUE</t>
  </si>
  <si>
    <t>Operating value (DCF-FCFF EV)</t>
  </si>
  <si>
    <t>Non-operating (cash + mkt sec)</t>
  </si>
  <si>
    <t>Total firm value</t>
  </si>
  <si>
    <t>CLAIMS ON VALUE</t>
  </si>
  <si>
    <t>Debt (book)</t>
  </si>
  <si>
    <t>Other liabilities (book)</t>
  </si>
  <si>
    <t>Intrinsic equity value</t>
  </si>
  <si>
    <t>MARKET VS BOOK</t>
  </si>
  <si>
    <t>Book equity value</t>
  </si>
  <si>
    <t>Market value added</t>
  </si>
  <si>
    <t>Intrinsic value per share</t>
  </si>
  <si>
    <t>Trading Comparables</t>
  </si>
  <si>
    <t>Peer multiples applied to ABBV NTM (2026E). $mm except per share.</t>
  </si>
  <si>
    <t>ABBV SNAPSHOT</t>
  </si>
  <si>
    <t>Enterprise value</t>
  </si>
  <si>
    <t>NTM EBITDA (2026E)</t>
  </si>
  <si>
    <t>NTM EPS (2026E)</t>
  </si>
  <si>
    <t>IMPLIED VALUE FROM PEERS</t>
  </si>
  <si>
    <t>Multiple</t>
  </si>
  <si>
    <t>EV/EBITDA low</t>
  </si>
  <si>
    <t>EV/EBITDA high</t>
  </si>
  <si>
    <t>P/E low</t>
  </si>
  <si>
    <t>P/E high</t>
  </si>
  <si>
    <t>Comps midpoint</t>
  </si>
  <si>
    <t>PEER REFERENCE (user-supplied)</t>
  </si>
  <si>
    <t>Company</t>
  </si>
  <si>
    <t>EV/EBITDA</t>
  </si>
  <si>
    <t>Fwd P/E</t>
  </si>
  <si>
    <t>AbbVie (ABBV)</t>
  </si>
  <si>
    <t>70.1%</t>
  </si>
  <si>
    <t>Eli Lilly (LLY)</t>
  </si>
  <si>
    <t>81.0%</t>
  </si>
  <si>
    <t>Johnson &amp; Johnson</t>
  </si>
  <si>
    <t>68.5%</t>
  </si>
  <si>
    <t>Merck (MRK)</t>
  </si>
  <si>
    <t>75.0%</t>
  </si>
  <si>
    <t>Pfizer (PFE)</t>
  </si>
  <si>
    <t>57.0%</t>
  </si>
  <si>
    <t>Bristol-Myers Squibb</t>
  </si>
  <si>
    <t>77.0%</t>
  </si>
  <si>
    <t>Sector median</t>
  </si>
  <si>
    <t>—</t>
  </si>
  <si>
    <t>Scenario &amp; Sensitivity</t>
  </si>
  <si>
    <t>WACC×g and WACC×EV/EBIT grids off the base FCFF stream. Monte Carlo: 20,000 draws, seed=42.</t>
  </si>
  <si>
    <t>GRID 1 — Per share: WACC (cols) × g (rows), constant growth terminal</t>
  </si>
  <si>
    <t>g / WACC</t>
  </si>
  <si>
    <t>6.5%</t>
  </si>
  <si>
    <t>7.0%</t>
  </si>
  <si>
    <t>7.5%</t>
  </si>
  <si>
    <t>8.0%</t>
  </si>
  <si>
    <t>8.5%</t>
  </si>
  <si>
    <t>9.0%</t>
  </si>
  <si>
    <t>9.5%</t>
  </si>
  <si>
    <t>2.0%</t>
  </si>
  <si>
    <t>2.5%</t>
  </si>
  <si>
    <t>3.0%</t>
  </si>
  <si>
    <t>3.5%</t>
  </si>
  <si>
    <t>4.0%</t>
  </si>
  <si>
    <t>GRID 2 — Per share: WACC (cols) × terminal EV/EBIT (rows)</t>
  </si>
  <si>
    <t>EV/EBIT / WACC</t>
  </si>
  <si>
    <t>10x</t>
  </si>
  <si>
    <t>11x</t>
  </si>
  <si>
    <t>12x</t>
  </si>
  <si>
    <t>13x</t>
  </si>
  <si>
    <t>14x</t>
  </si>
  <si>
    <t>15x</t>
  </si>
  <si>
    <t>16x</t>
  </si>
  <si>
    <t>MONTE CARLO — Intrinsic Value Distribution (20,000 draws, seed=42)</t>
  </si>
  <si>
    <t>Input distributions</t>
  </si>
  <si>
    <t>Mean</t>
  </si>
  <si>
    <t>Std</t>
  </si>
  <si>
    <t>Bounds</t>
  </si>
  <si>
    <t>7-yr revenue CAGR</t>
  </si>
  <si>
    <t>4.3%</t>
  </si>
  <si>
    <t>0-15%</t>
  </si>
  <si>
    <t>Operating margin</t>
  </si>
  <si>
    <t>34.5%</t>
  </si>
  <si>
    <t>25-42%</t>
  </si>
  <si>
    <t>0.8%</t>
  </si>
  <si>
    <t>5.5-10.5%</t>
  </si>
  <si>
    <t>Terminal g</t>
  </si>
  <si>
    <t>0.5%</t>
  </si>
  <si>
    <t>1.5-4.5%</t>
  </si>
  <si>
    <t>Output</t>
  </si>
  <si>
    <t>Value</t>
  </si>
  <si>
    <t>Mean per share</t>
  </si>
  <si>
    <t>$213.71</t>
  </si>
  <si>
    <t>Median per share</t>
  </si>
  <si>
    <t>$200.30</t>
  </si>
  <si>
    <t>Std dev</t>
  </si>
  <si>
    <t>$73.54</t>
  </si>
  <si>
    <t>5th percentile</t>
  </si>
  <si>
    <t>$122.24</t>
  </si>
  <si>
    <t>25th percentile</t>
  </si>
  <si>
    <t>$162.27</t>
  </si>
  <si>
    <t>75th percentile</t>
  </si>
  <si>
    <t>$249.06</t>
  </si>
  <si>
    <t>95th percentile</t>
  </si>
  <si>
    <t>$349.09</t>
  </si>
  <si>
    <t>P(overvalued)</t>
  </si>
  <si>
    <t>63.8%</t>
  </si>
  <si>
    <t>P(upside&gt;20%)</t>
  </si>
  <si>
    <t>18.2%</t>
  </si>
  <si>
    <t>Median upside</t>
  </si>
  <si>
    <t>-10.9%</t>
  </si>
  <si>
    <t>Histogram</t>
  </si>
  <si>
    <t>Value/sh</t>
  </si>
  <si>
    <t>Freq</t>
  </si>
  <si>
    <t>P/E</t>
  </si>
  <si>
    <t>Current Share Price</t>
  </si>
  <si>
    <t>Diluted shares</t>
  </si>
  <si>
    <t>Market Cap</t>
  </si>
  <si>
    <t>INPUTS ($mm)</t>
  </si>
  <si>
    <t>CAPM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</si>
</sst>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.00"/>
    <numFmt numFmtId="165" formatCode="0.0%;\(0.0%\);\-"/>
    <numFmt numFmtId="166" formatCode="#,##0.0"/>
    <numFmt numFmtId="167" formatCode="#,##0;\(#,##0\);\-"/>
    <numFmt numFmtId="168" formatCode="0.0\x"/>
    <numFmt numFmtId="169" formatCode="#,##0.0;\(#,##0.0\);\-"/>
    <numFmt numFmtId="170" formatCode="0000"/>
    <numFmt numFmtId="171" formatCode="0.0000"/>
    <numFmt numFmtId="172" formatCode="\$#,##0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sz val="11"/>
      <color rgb="FF404040"/>
      <name val="Arial"/>
      <family val="2"/>
    </font>
    <font>
      <sz val="10"/>
      <color rgb="FF80808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808080"/>
      <name val="Arial"/>
      <family val="2"/>
    </font>
    <font>
      <b/>
      <sz val="12"/>
      <color rgb="FF1F3864"/>
      <name val="Arial"/>
      <family val="2"/>
    </font>
    <font>
      <sz val="10"/>
      <color rgb="FF00640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10"/>
      <color rgb="FF375623"/>
      <name val="Arial"/>
      <family val="2"/>
    </font>
    <font>
      <b/>
      <sz val="10"/>
      <color rgb="FF9537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F2F2F2"/>
        <bgColor rgb="FFEBF1DE"/>
      </patternFill>
    </fill>
    <fill>
      <patternFill patternType="solid">
        <fgColor rgb="FFDCE6F1"/>
        <bgColor rgb="FFD9D9D9"/>
      </patternFill>
    </fill>
    <fill>
      <patternFill patternType="solid">
        <fgColor rgb="FFEBF1DE"/>
        <bgColor rgb="FFF2F2F2"/>
      </patternFill>
    </fill>
    <fill>
      <patternFill patternType="solid">
        <fgColor rgb="FFF2DCDB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164" fontId="9" fillId="0" borderId="0" xfId="0" applyNumberFormat="1" applyFont="1" applyAlignment="1">
      <alignment horizontal="left" vertical="center"/>
    </xf>
    <xf numFmtId="3" fontId="9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8" fontId="9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9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9" fontId="3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70" fontId="9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2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EBF1DE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B35"/>
  <sheetViews>
    <sheetView showGridLines="0" topLeftCell="A12" zoomScaleNormal="100" workbookViewId="0">
      <selection activeCell="C15" sqref="C15"/>
    </sheetView>
  </sheetViews>
  <sheetFormatPr baseColWidth="10" defaultColWidth="8.6640625" defaultRowHeight="15" x14ac:dyDescent="0.2"/>
  <cols>
    <col min="1" max="1" width="64" customWidth="1"/>
    <col min="2" max="2" width="22" customWidth="1"/>
  </cols>
  <sheetData>
    <row r="1" spans="1:1" ht="20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6" spans="1:1" x14ac:dyDescent="0.2">
      <c r="A6" s="4" t="s">
        <v>4</v>
      </c>
    </row>
    <row r="7" spans="1:1" x14ac:dyDescent="0.2">
      <c r="A7" s="5" t="s">
        <v>5</v>
      </c>
    </row>
    <row r="8" spans="1:1" x14ac:dyDescent="0.2">
      <c r="A8" s="5" t="s">
        <v>6</v>
      </c>
    </row>
    <row r="9" spans="1:1" x14ac:dyDescent="0.2">
      <c r="A9" s="5" t="s">
        <v>7</v>
      </c>
    </row>
    <row r="10" spans="1:1" x14ac:dyDescent="0.2">
      <c r="A10" s="5" t="s">
        <v>8</v>
      </c>
    </row>
    <row r="11" spans="1:1" x14ac:dyDescent="0.2">
      <c r="A11" s="5" t="s">
        <v>9</v>
      </c>
    </row>
    <row r="12" spans="1:1" x14ac:dyDescent="0.2">
      <c r="A12" s="5" t="s">
        <v>10</v>
      </c>
    </row>
    <row r="13" spans="1:1" x14ac:dyDescent="0.2">
      <c r="A13" s="5" t="s">
        <v>11</v>
      </c>
    </row>
    <row r="14" spans="1:1" x14ac:dyDescent="0.2">
      <c r="A14" s="5" t="s">
        <v>12</v>
      </c>
    </row>
    <row r="15" spans="1:1" x14ac:dyDescent="0.2">
      <c r="A15" s="5" t="s">
        <v>13</v>
      </c>
    </row>
    <row r="17" spans="1:2" x14ac:dyDescent="0.2">
      <c r="A17" s="4" t="s">
        <v>14</v>
      </c>
    </row>
    <row r="18" spans="1:2" x14ac:dyDescent="0.2">
      <c r="A18" s="5" t="s">
        <v>15</v>
      </c>
      <c r="B18" s="5" t="s">
        <v>16</v>
      </c>
    </row>
    <row r="19" spans="1:2" x14ac:dyDescent="0.2">
      <c r="A19" s="5" t="s">
        <v>17</v>
      </c>
      <c r="B19" s="5" t="s">
        <v>18</v>
      </c>
    </row>
    <row r="20" spans="1:2" x14ac:dyDescent="0.2">
      <c r="A20" s="5" t="s">
        <v>19</v>
      </c>
      <c r="B20" s="5" t="s">
        <v>20</v>
      </c>
    </row>
    <row r="21" spans="1:2" x14ac:dyDescent="0.2">
      <c r="A21" s="5" t="s">
        <v>21</v>
      </c>
      <c r="B21" s="5" t="s">
        <v>22</v>
      </c>
    </row>
    <row r="22" spans="1:2" x14ac:dyDescent="0.2">
      <c r="A22" s="5" t="s">
        <v>23</v>
      </c>
      <c r="B22" s="5" t="s">
        <v>24</v>
      </c>
    </row>
    <row r="23" spans="1:2" x14ac:dyDescent="0.2">
      <c r="A23" s="5" t="s">
        <v>25</v>
      </c>
      <c r="B23" s="5" t="s">
        <v>26</v>
      </c>
    </row>
    <row r="24" spans="1:2" x14ac:dyDescent="0.2">
      <c r="A24" s="5" t="s">
        <v>27</v>
      </c>
      <c r="B24" s="5" t="s">
        <v>28</v>
      </c>
    </row>
    <row r="25" spans="1:2" x14ac:dyDescent="0.2">
      <c r="A25" s="5" t="s">
        <v>29</v>
      </c>
      <c r="B25" s="5" t="s">
        <v>30</v>
      </c>
    </row>
    <row r="26" spans="1:2" x14ac:dyDescent="0.2">
      <c r="A26" s="5" t="s">
        <v>31</v>
      </c>
      <c r="B26" s="5" t="s">
        <v>32</v>
      </c>
    </row>
    <row r="28" spans="1:2" x14ac:dyDescent="0.2">
      <c r="A28" s="4" t="s">
        <v>33</v>
      </c>
    </row>
    <row r="29" spans="1:2" x14ac:dyDescent="0.2">
      <c r="A29" s="6" t="s">
        <v>34</v>
      </c>
    </row>
    <row r="30" spans="1:2" x14ac:dyDescent="0.2">
      <c r="A30" s="6" t="s">
        <v>35</v>
      </c>
    </row>
    <row r="31" spans="1:2" x14ac:dyDescent="0.2">
      <c r="A31" s="6" t="s">
        <v>36</v>
      </c>
    </row>
    <row r="32" spans="1:2" x14ac:dyDescent="0.2">
      <c r="A32" s="6" t="s">
        <v>37</v>
      </c>
    </row>
    <row r="33" spans="1:1" x14ac:dyDescent="0.2">
      <c r="A33" s="6" t="s">
        <v>38</v>
      </c>
    </row>
    <row r="35" spans="1:1" x14ac:dyDescent="0.2">
      <c r="A35" s="6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19"/>
  <sheetViews>
    <sheetView showGridLines="0" zoomScaleNormal="100" workbookViewId="0">
      <selection activeCell="A9" sqref="A9"/>
    </sheetView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3" ht="16" x14ac:dyDescent="0.2">
      <c r="A1" s="7" t="s">
        <v>40</v>
      </c>
    </row>
    <row r="2" spans="1:3" x14ac:dyDescent="0.2">
      <c r="A2" s="6" t="s">
        <v>41</v>
      </c>
    </row>
    <row r="4" spans="1:3" x14ac:dyDescent="0.2">
      <c r="A4" s="4" t="s">
        <v>42</v>
      </c>
    </row>
    <row r="5" spans="1:3" x14ac:dyDescent="0.2">
      <c r="A5" s="8" t="str">
        <f>Drivers!D7</f>
        <v>BASE</v>
      </c>
    </row>
    <row r="6" spans="1:3" x14ac:dyDescent="0.2">
      <c r="A6" s="9">
        <f>Drivers!D8</f>
        <v>224.77</v>
      </c>
    </row>
    <row r="7" spans="1:3" x14ac:dyDescent="0.2">
      <c r="A7" s="10" t="s">
        <v>43</v>
      </c>
      <c r="B7" s="11">
        <f>AVERAGE('DCF-FCFF'!B31,'DCF-FCFE'!B28,'EVA-Residual'!B29,'EVA-Residual'!B44,Comps!C15)</f>
        <v>159.99440801363298</v>
      </c>
    </row>
    <row r="8" spans="1:3" x14ac:dyDescent="0.2">
      <c r="A8" s="5" t="s">
        <v>44</v>
      </c>
      <c r="B8" s="12">
        <f>B7/Drivers!D8-1</f>
        <v>-0.28818611018537632</v>
      </c>
    </row>
    <row r="10" spans="1:3" x14ac:dyDescent="0.2">
      <c r="A10" s="4" t="s">
        <v>45</v>
      </c>
    </row>
    <row r="11" spans="1:3" x14ac:dyDescent="0.2">
      <c r="A11" s="13" t="s">
        <v>46</v>
      </c>
      <c r="B11" s="14" t="s">
        <v>47</v>
      </c>
      <c r="C11" s="14" t="s">
        <v>48</v>
      </c>
    </row>
    <row r="12" spans="1:3" x14ac:dyDescent="0.2">
      <c r="A12" s="5" t="s">
        <v>49</v>
      </c>
      <c r="B12" s="9">
        <f>'DCF-FCFF'!B31</f>
        <v>147.58099928396476</v>
      </c>
      <c r="C12" s="12">
        <f>B12/Drivers!D8-1</f>
        <v>-0.34341327008068356</v>
      </c>
    </row>
    <row r="13" spans="1:3" x14ac:dyDescent="0.2">
      <c r="A13" s="5" t="s">
        <v>50</v>
      </c>
      <c r="B13" s="9">
        <f>'DCF-FCFE'!B28</f>
        <v>127.5862329476202</v>
      </c>
      <c r="C13" s="12">
        <f>B13/Drivers!D8-1</f>
        <v>-0.43236983161622899</v>
      </c>
    </row>
    <row r="14" spans="1:3" x14ac:dyDescent="0.2">
      <c r="A14" s="5" t="s">
        <v>51</v>
      </c>
      <c r="B14" s="9">
        <f>'EVA-Residual'!B29</f>
        <v>159.27819706934949</v>
      </c>
      <c r="C14" s="12">
        <f>B14/Drivers!D8-1</f>
        <v>-0.2913725271639922</v>
      </c>
    </row>
    <row r="15" spans="1:3" x14ac:dyDescent="0.2">
      <c r="A15" s="5" t="s">
        <v>52</v>
      </c>
      <c r="B15" s="9">
        <f>'EVA-Residual'!B44</f>
        <v>193.41502323050034</v>
      </c>
      <c r="C15" s="12">
        <f>B15/Drivers!D8-1</f>
        <v>-0.13949805031587703</v>
      </c>
    </row>
    <row r="16" spans="1:3" x14ac:dyDescent="0.2">
      <c r="A16" s="5" t="s">
        <v>53</v>
      </c>
      <c r="B16" s="9">
        <f>Comps!C15</f>
        <v>172.11158753673016</v>
      </c>
      <c r="C16" s="12">
        <f>B16/Drivers!D8-1</f>
        <v>-0.23427687175009948</v>
      </c>
    </row>
    <row r="17" spans="1:3" x14ac:dyDescent="0.2">
      <c r="A17" s="5" t="s">
        <v>54</v>
      </c>
      <c r="B17" s="15">
        <v>200.3</v>
      </c>
      <c r="C17" s="12">
        <f>B17/Drivers!D8-1</f>
        <v>-0.10886684166036387</v>
      </c>
    </row>
    <row r="18" spans="1:3" x14ac:dyDescent="0.2">
      <c r="A18" s="10" t="s">
        <v>55</v>
      </c>
      <c r="B18" s="11">
        <f>B7</f>
        <v>159.99440801363298</v>
      </c>
      <c r="C18" s="12">
        <f>B18/Drivers!D8-1</f>
        <v>-0.28818611018537632</v>
      </c>
    </row>
    <row r="19" spans="1:3" x14ac:dyDescent="0.2">
      <c r="A19" s="10" t="s">
        <v>56</v>
      </c>
      <c r="B19" s="9">
        <f>Drivers!D8</f>
        <v>224.77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51"/>
  <sheetViews>
    <sheetView showGridLines="0" zoomScale="107" zoomScaleNormal="100" workbookViewId="0">
      <selection activeCell="K25" sqref="K25"/>
    </sheetView>
  </sheetViews>
  <sheetFormatPr baseColWidth="10" defaultColWidth="8.6640625" defaultRowHeight="15" x14ac:dyDescent="0.2"/>
  <cols>
    <col min="1" max="1" width="42" customWidth="1"/>
    <col min="2" max="2" width="18" customWidth="1"/>
    <col min="3" max="3" width="16" customWidth="1"/>
    <col min="4" max="13" width="12" customWidth="1"/>
  </cols>
  <sheetData>
    <row r="1" spans="1:12" ht="16" x14ac:dyDescent="0.2">
      <c r="A1" s="7" t="s">
        <v>57</v>
      </c>
    </row>
    <row r="2" spans="1:12" x14ac:dyDescent="0.2">
      <c r="A2" s="6" t="s">
        <v>58</v>
      </c>
    </row>
    <row r="4" spans="1:12" x14ac:dyDescent="0.2">
      <c r="A4" s="13" t="s">
        <v>59</v>
      </c>
      <c r="D4" s="14" t="s">
        <v>60</v>
      </c>
      <c r="E4" s="14" t="s">
        <v>61</v>
      </c>
      <c r="F4" s="14" t="s">
        <v>62</v>
      </c>
      <c r="G4" s="14" t="s">
        <v>63</v>
      </c>
      <c r="H4" s="14" t="s">
        <v>64</v>
      </c>
      <c r="I4" s="14" t="s">
        <v>65</v>
      </c>
      <c r="J4" s="14" t="s">
        <v>66</v>
      </c>
      <c r="K4" s="14" t="s">
        <v>67</v>
      </c>
      <c r="L4" s="14" t="s">
        <v>68</v>
      </c>
    </row>
    <row r="5" spans="1:12" x14ac:dyDescent="0.2">
      <c r="A5" s="4" t="s">
        <v>69</v>
      </c>
    </row>
    <row r="6" spans="1:12" x14ac:dyDescent="0.2">
      <c r="A6" s="5" t="s">
        <v>70</v>
      </c>
      <c r="D6" s="16">
        <v>2</v>
      </c>
    </row>
    <row r="7" spans="1:12" x14ac:dyDescent="0.2">
      <c r="A7" s="5" t="s">
        <v>71</v>
      </c>
      <c r="D7" s="17" t="str">
        <f>IF(D6=1,"BEAR",IF(D6=2,"BASE","BULL"))</f>
        <v>BASE</v>
      </c>
    </row>
    <row r="8" spans="1:12" x14ac:dyDescent="0.2">
      <c r="A8" s="5" t="s">
        <v>72</v>
      </c>
      <c r="D8" s="15">
        <v>224.77</v>
      </c>
    </row>
    <row r="9" spans="1:12" x14ac:dyDescent="0.2">
      <c r="A9" s="5" t="s">
        <v>73</v>
      </c>
      <c r="D9" s="18">
        <v>1773</v>
      </c>
    </row>
    <row r="10" spans="1:12" x14ac:dyDescent="0.2">
      <c r="A10" s="5" t="s">
        <v>74</v>
      </c>
      <c r="D10" s="19">
        <v>63122</v>
      </c>
    </row>
    <row r="11" spans="1:12" x14ac:dyDescent="0.2">
      <c r="A11" s="5" t="s">
        <v>75</v>
      </c>
      <c r="D11" s="20">
        <f>D8*D9</f>
        <v>398517.21</v>
      </c>
    </row>
    <row r="12" spans="1:12" x14ac:dyDescent="0.2">
      <c r="A12" s="5" t="s">
        <v>76</v>
      </c>
      <c r="D12" s="20">
        <f>D11+D10</f>
        <v>461639.21</v>
      </c>
    </row>
    <row r="14" spans="1:12" x14ac:dyDescent="0.2">
      <c r="A14" s="4" t="s">
        <v>77</v>
      </c>
    </row>
    <row r="15" spans="1:12" x14ac:dyDescent="0.2">
      <c r="A15" s="5" t="s">
        <v>78</v>
      </c>
      <c r="D15" s="21">
        <v>4.2999999999999997E-2</v>
      </c>
    </row>
    <row r="16" spans="1:12" x14ac:dyDescent="0.2">
      <c r="A16" s="5" t="s">
        <v>79</v>
      </c>
      <c r="D16" s="21">
        <v>0.05</v>
      </c>
    </row>
    <row r="17" spans="1:12" x14ac:dyDescent="0.2">
      <c r="A17" s="5" t="s">
        <v>80</v>
      </c>
      <c r="D17" s="22">
        <v>0.65</v>
      </c>
    </row>
    <row r="18" spans="1:12" x14ac:dyDescent="0.2">
      <c r="A18" s="5" t="s">
        <v>81</v>
      </c>
      <c r="D18" s="21">
        <v>5.0000000000000001E-3</v>
      </c>
    </row>
    <row r="19" spans="1:12" x14ac:dyDescent="0.2">
      <c r="A19" s="5" t="s">
        <v>82</v>
      </c>
      <c r="D19" s="12">
        <f>D15+D17*D16+D18</f>
        <v>8.0500000000000002E-2</v>
      </c>
    </row>
    <row r="20" spans="1:12" x14ac:dyDescent="0.2">
      <c r="A20" s="5" t="s">
        <v>83</v>
      </c>
      <c r="D20" s="21">
        <v>4.8000000000000001E-2</v>
      </c>
    </row>
    <row r="21" spans="1:12" x14ac:dyDescent="0.2">
      <c r="A21" s="5" t="s">
        <v>84</v>
      </c>
      <c r="D21" s="21">
        <v>0.88</v>
      </c>
    </row>
    <row r="22" spans="1:12" x14ac:dyDescent="0.2">
      <c r="A22" s="5" t="s">
        <v>85</v>
      </c>
      <c r="D22" s="21">
        <v>0.12</v>
      </c>
    </row>
    <row r="23" spans="1:12" x14ac:dyDescent="0.2">
      <c r="A23" s="5" t="s">
        <v>86</v>
      </c>
      <c r="D23" s="21">
        <v>0.15</v>
      </c>
    </row>
    <row r="24" spans="1:12" x14ac:dyDescent="0.2">
      <c r="A24" s="5" t="s">
        <v>87</v>
      </c>
      <c r="D24" s="12">
        <f>D20*(1-D23)</f>
        <v>4.0800000000000003E-2</v>
      </c>
    </row>
    <row r="25" spans="1:12" x14ac:dyDescent="0.2">
      <c r="A25" s="5" t="s">
        <v>88</v>
      </c>
      <c r="D25" s="23">
        <f>D21*D19+D22*D24</f>
        <v>7.5735999999999998E-2</v>
      </c>
    </row>
    <row r="27" spans="1:12" x14ac:dyDescent="0.2">
      <c r="A27" s="4" t="s">
        <v>89</v>
      </c>
    </row>
    <row r="28" spans="1:12" x14ac:dyDescent="0.2">
      <c r="A28" s="5" t="s">
        <v>90</v>
      </c>
      <c r="F28" s="21">
        <v>0.02</v>
      </c>
      <c r="G28" s="21">
        <v>0.01</v>
      </c>
      <c r="H28" s="21">
        <v>0</v>
      </c>
      <c r="I28" s="21">
        <v>-0.01</v>
      </c>
      <c r="J28" s="21">
        <v>0.01</v>
      </c>
      <c r="K28" s="21">
        <v>0.02</v>
      </c>
      <c r="L28" s="21">
        <v>0.02</v>
      </c>
    </row>
    <row r="29" spans="1:12" x14ac:dyDescent="0.2">
      <c r="A29" s="5" t="s">
        <v>91</v>
      </c>
      <c r="F29" s="21">
        <v>0.06</v>
      </c>
      <c r="G29" s="21">
        <v>0.05</v>
      </c>
      <c r="H29" s="21">
        <v>4.4999999999999998E-2</v>
      </c>
      <c r="I29" s="21">
        <v>0.04</v>
      </c>
      <c r="J29" s="21">
        <v>3.5000000000000003E-2</v>
      </c>
      <c r="K29" s="21">
        <v>0.03</v>
      </c>
      <c r="L29" s="21">
        <v>0.03</v>
      </c>
    </row>
    <row r="30" spans="1:12" x14ac:dyDescent="0.2">
      <c r="A30" s="5" t="s">
        <v>92</v>
      </c>
      <c r="F30" s="21">
        <v>0.09</v>
      </c>
      <c r="G30" s="21">
        <v>0.08</v>
      </c>
      <c r="H30" s="21">
        <v>7.0000000000000007E-2</v>
      </c>
      <c r="I30" s="21">
        <v>0.06</v>
      </c>
      <c r="J30" s="21">
        <v>0.05</v>
      </c>
      <c r="K30" s="21">
        <v>0.04</v>
      </c>
      <c r="L30" s="21">
        <v>0.04</v>
      </c>
    </row>
    <row r="31" spans="1:12" x14ac:dyDescent="0.2">
      <c r="A31" s="10" t="s">
        <v>93</v>
      </c>
      <c r="F31" s="12">
        <f>INDEX(F28:F30,D6)</f>
        <v>0.06</v>
      </c>
      <c r="G31" s="12">
        <f>INDEX(G28:G30,D6)</f>
        <v>0.05</v>
      </c>
      <c r="H31" s="12">
        <f>INDEX(H28:H30,D6)</f>
        <v>4.4999999999999998E-2</v>
      </c>
      <c r="I31" s="12">
        <f>INDEX(I28:I30,D6)</f>
        <v>0.04</v>
      </c>
      <c r="J31" s="12">
        <f>INDEX(J28:J30,D6)</f>
        <v>3.5000000000000003E-2</v>
      </c>
      <c r="K31" s="12">
        <f>INDEX(K28:K30,D6)</f>
        <v>0.03</v>
      </c>
      <c r="L31" s="12">
        <f>INDEX(L28:L30,D6)</f>
        <v>0.03</v>
      </c>
    </row>
    <row r="33" spans="1:12" x14ac:dyDescent="0.2">
      <c r="A33" s="4" t="s">
        <v>94</v>
      </c>
    </row>
    <row r="34" spans="1:12" x14ac:dyDescent="0.2">
      <c r="A34" s="5" t="s">
        <v>95</v>
      </c>
      <c r="F34" s="21">
        <v>0.34</v>
      </c>
      <c r="G34" s="21">
        <v>0.34499999999999997</v>
      </c>
      <c r="H34" s="21">
        <v>0.34799999999999998</v>
      </c>
      <c r="I34" s="21">
        <v>0.35</v>
      </c>
      <c r="J34" s="21">
        <v>0.35</v>
      </c>
      <c r="K34" s="21">
        <v>0.35</v>
      </c>
      <c r="L34" s="21">
        <v>0.35</v>
      </c>
    </row>
    <row r="35" spans="1:12" x14ac:dyDescent="0.2">
      <c r="A35" s="5" t="s">
        <v>96</v>
      </c>
      <c r="D35" s="21">
        <v>0.15</v>
      </c>
    </row>
    <row r="36" spans="1:12" x14ac:dyDescent="0.2">
      <c r="A36" s="5" t="s">
        <v>97</v>
      </c>
      <c r="D36" s="21">
        <v>0.03</v>
      </c>
    </row>
    <row r="37" spans="1:12" x14ac:dyDescent="0.2">
      <c r="A37" s="5" t="s">
        <v>98</v>
      </c>
      <c r="D37" s="24">
        <v>13</v>
      </c>
    </row>
    <row r="38" spans="1:12" x14ac:dyDescent="0.2">
      <c r="A38" s="5" t="s">
        <v>99</v>
      </c>
      <c r="D38" s="24">
        <v>12</v>
      </c>
    </row>
    <row r="39" spans="1:12" x14ac:dyDescent="0.2">
      <c r="A39" s="5" t="s">
        <v>100</v>
      </c>
      <c r="D39" s="24">
        <v>5</v>
      </c>
    </row>
    <row r="40" spans="1:12" x14ac:dyDescent="0.2">
      <c r="A40" s="5" t="s">
        <v>101</v>
      </c>
      <c r="D40" s="24">
        <v>4</v>
      </c>
    </row>
    <row r="42" spans="1:12" x14ac:dyDescent="0.2">
      <c r="A42" s="4" t="s">
        <v>102</v>
      </c>
    </row>
    <row r="43" spans="1:12" x14ac:dyDescent="0.2">
      <c r="A43" s="5" t="s">
        <v>103</v>
      </c>
      <c r="D43" s="25">
        <v>2000</v>
      </c>
    </row>
    <row r="44" spans="1:12" x14ac:dyDescent="0.2">
      <c r="A44" s="5" t="s">
        <v>104</v>
      </c>
      <c r="D44" s="15">
        <v>7.05</v>
      </c>
    </row>
    <row r="45" spans="1:12" x14ac:dyDescent="0.2">
      <c r="A45" s="5" t="s">
        <v>105</v>
      </c>
      <c r="D45" s="21">
        <v>5.5E-2</v>
      </c>
    </row>
    <row r="47" spans="1:12" x14ac:dyDescent="0.2">
      <c r="A47" s="4" t="s">
        <v>106</v>
      </c>
    </row>
    <row r="48" spans="1:12" x14ac:dyDescent="0.2">
      <c r="A48" s="5" t="s">
        <v>107</v>
      </c>
      <c r="D48" s="24">
        <v>11</v>
      </c>
    </row>
    <row r="49" spans="1:4" x14ac:dyDescent="0.2">
      <c r="A49" s="5" t="s">
        <v>108</v>
      </c>
      <c r="D49" s="24">
        <v>16</v>
      </c>
    </row>
    <row r="50" spans="1:4" x14ac:dyDescent="0.2">
      <c r="A50" s="5" t="s">
        <v>109</v>
      </c>
      <c r="D50" s="24">
        <v>12</v>
      </c>
    </row>
    <row r="51" spans="1:4" x14ac:dyDescent="0.2">
      <c r="A51" s="5" t="s">
        <v>110</v>
      </c>
      <c r="D51" s="24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baseColWidth="10" defaultColWidth="8.6640625" defaultRowHeight="15" x14ac:dyDescent="0.2"/>
  <cols>
    <col min="1" max="1" width="40" customWidth="1"/>
    <col min="2" max="13" width="12" customWidth="1"/>
  </cols>
  <sheetData>
    <row r="1" spans="1:13" ht="16" x14ac:dyDescent="0.2">
      <c r="A1" s="7" t="s">
        <v>111</v>
      </c>
    </row>
    <row r="2" spans="1:13" x14ac:dyDescent="0.2">
      <c r="A2" s="6" t="s">
        <v>112</v>
      </c>
    </row>
    <row r="4" spans="1:13" x14ac:dyDescent="0.2">
      <c r="A4" s="13" t="s">
        <v>59</v>
      </c>
      <c r="B4" s="14" t="s">
        <v>113</v>
      </c>
      <c r="C4" s="14" t="s">
        <v>114</v>
      </c>
      <c r="D4" s="14" t="s">
        <v>115</v>
      </c>
      <c r="E4" s="14" t="s">
        <v>60</v>
      </c>
      <c r="F4" s="14" t="s">
        <v>61</v>
      </c>
      <c r="G4" s="26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26" t="s">
        <v>67</v>
      </c>
      <c r="M4" s="26" t="s">
        <v>68</v>
      </c>
    </row>
    <row r="5" spans="1:13" x14ac:dyDescent="0.2">
      <c r="A5" s="4" t="s">
        <v>116</v>
      </c>
    </row>
    <row r="6" spans="1:13" x14ac:dyDescent="0.2">
      <c r="A6" s="5" t="s">
        <v>117</v>
      </c>
      <c r="B6" s="27">
        <f>'Fin-Forecast'!B21</f>
        <v>56197</v>
      </c>
      <c r="C6" s="27">
        <f>'Fin-Forecast'!C21</f>
        <v>58054</v>
      </c>
      <c r="D6" s="27">
        <f>'Fin-Forecast'!D21</f>
        <v>54318</v>
      </c>
      <c r="E6" s="27">
        <f>'Fin-Forecast'!E21</f>
        <v>56334</v>
      </c>
      <c r="F6" s="27">
        <f>'Fin-Forecast'!F21</f>
        <v>61160</v>
      </c>
      <c r="G6" s="27">
        <f>'Fin-Forecast'!G21</f>
        <v>64829.600000000006</v>
      </c>
      <c r="H6" s="27">
        <f>'Fin-Forecast'!H21</f>
        <v>68071.08</v>
      </c>
      <c r="I6" s="27">
        <f>'Fin-Forecast'!I21</f>
        <v>71134.278599999991</v>
      </c>
      <c r="J6" s="27">
        <f>'Fin-Forecast'!J21</f>
        <v>73979.649743999995</v>
      </c>
      <c r="K6" s="27">
        <f>'Fin-Forecast'!K21</f>
        <v>76568.937485039991</v>
      </c>
      <c r="L6" s="27">
        <f>'Fin-Forecast'!L21</f>
        <v>78866.005609591186</v>
      </c>
      <c r="M6" s="27">
        <f>'Fin-Forecast'!M21</f>
        <v>81231.98577787893</v>
      </c>
    </row>
    <row r="7" spans="1:13" x14ac:dyDescent="0.2">
      <c r="A7" s="5" t="s">
        <v>118</v>
      </c>
      <c r="B7" s="27">
        <f>'Fin-Forecast'!B23</f>
        <v>39053</v>
      </c>
      <c r="C7" s="27">
        <f>'Fin-Forecast'!C23</f>
        <v>41609</v>
      </c>
      <c r="D7" s="27">
        <f>'Fin-Forecast'!D23</f>
        <v>37668</v>
      </c>
      <c r="E7" s="27">
        <f>'Fin-Forecast'!E23</f>
        <v>39503</v>
      </c>
      <c r="F7" s="27">
        <f>'Fin-Forecast'!F23</f>
        <v>42890</v>
      </c>
      <c r="G7" s="27">
        <f>'Fin-Forecast'!G23</f>
        <v>45380.72</v>
      </c>
      <c r="H7" s="27">
        <f>'Fin-Forecast'!H23</f>
        <v>47649.756000000001</v>
      </c>
      <c r="I7" s="27">
        <f>'Fin-Forecast'!I23</f>
        <v>49793.995019999988</v>
      </c>
      <c r="J7" s="27">
        <f>'Fin-Forecast'!J23</f>
        <v>51785.754820799993</v>
      </c>
      <c r="K7" s="27">
        <f>'Fin-Forecast'!K23</f>
        <v>53598.256239527989</v>
      </c>
      <c r="L7" s="27">
        <f>'Fin-Forecast'!L23</f>
        <v>55206.203926713824</v>
      </c>
      <c r="M7" s="27">
        <f>'Fin-Forecast'!M23</f>
        <v>56862.390044515247</v>
      </c>
    </row>
    <row r="8" spans="1:13" x14ac:dyDescent="0.2">
      <c r="A8" s="5" t="s">
        <v>119</v>
      </c>
      <c r="B8" s="27">
        <f>'Fin-Forecast'!B25</f>
        <v>19749</v>
      </c>
      <c r="C8" s="27">
        <f>'Fin-Forecast'!C25</f>
        <v>22602</v>
      </c>
      <c r="D8" s="27">
        <f>'Fin-Forecast'!D25</f>
        <v>18082</v>
      </c>
      <c r="E8" s="27">
        <f>'Fin-Forecast'!E25</f>
        <v>16625</v>
      </c>
      <c r="F8" s="27">
        <f>'Fin-Forecast'!F25</f>
        <v>20913</v>
      </c>
      <c r="G8" s="27">
        <f>'Fin-Forecast'!G25</f>
        <v>22042.064000000002</v>
      </c>
      <c r="H8" s="27">
        <f>'Fin-Forecast'!H25</f>
        <v>23484.5226</v>
      </c>
      <c r="I8" s="27">
        <f>'Fin-Forecast'!I25</f>
        <v>24754.728952799996</v>
      </c>
      <c r="J8" s="27">
        <f>'Fin-Forecast'!J25</f>
        <v>25892.877410399997</v>
      </c>
      <c r="K8" s="27">
        <f>'Fin-Forecast'!K25</f>
        <v>26799.128119763995</v>
      </c>
      <c r="L8" s="27">
        <f>'Fin-Forecast'!L25</f>
        <v>27603.101963356912</v>
      </c>
      <c r="M8" s="27">
        <f>'Fin-Forecast'!M25</f>
        <v>28431.195022257623</v>
      </c>
    </row>
    <row r="9" spans="1:13" x14ac:dyDescent="0.2">
      <c r="A9" s="5" t="s">
        <v>120</v>
      </c>
      <c r="B9" s="27">
        <f>'Fin-Forecast'!B32</f>
        <v>11468</v>
      </c>
      <c r="C9" s="27">
        <f>'Fin-Forecast'!C32</f>
        <v>11782</v>
      </c>
      <c r="D9" s="27">
        <f>'Fin-Forecast'!D32</f>
        <v>4820</v>
      </c>
      <c r="E9" s="27">
        <f>'Fin-Forecast'!E32</f>
        <v>4238</v>
      </c>
      <c r="F9" s="27">
        <f>'Fin-Forecast'!F32</f>
        <v>4186</v>
      </c>
      <c r="G9" s="27">
        <f>'Fin-Forecast'!G32</f>
        <v>16158.507650000001</v>
      </c>
      <c r="H9" s="27">
        <f>'Fin-Forecast'!H32</f>
        <v>17461.097460000001</v>
      </c>
      <c r="I9" s="27">
        <f>'Fin-Forecast'!I32</f>
        <v>18617.272859879995</v>
      </c>
      <c r="J9" s="27">
        <f>'Fin-Forecast'!J32</f>
        <v>19661.199048839997</v>
      </c>
      <c r="K9" s="27">
        <f>'Fin-Forecast'!K32</f>
        <v>20508.012151799394</v>
      </c>
      <c r="L9" s="27">
        <f>'Fin-Forecast'!L32</f>
        <v>21267.889918853376</v>
      </c>
      <c r="M9" s="27">
        <f>'Fin-Forecast'!M32</f>
        <v>22048.269018918982</v>
      </c>
    </row>
    <row r="10" spans="1:13" x14ac:dyDescent="0.2">
      <c r="A10" s="5" t="s">
        <v>121</v>
      </c>
      <c r="B10" s="27">
        <f>'Fin-Forecast'!B33</f>
        <v>16786.649999999998</v>
      </c>
      <c r="C10" s="27">
        <f>'Fin-Forecast'!C33</f>
        <v>19211.7</v>
      </c>
      <c r="D10" s="27">
        <f>'Fin-Forecast'!D33</f>
        <v>15369.699999999999</v>
      </c>
      <c r="E10" s="27">
        <f>'Fin-Forecast'!E33</f>
        <v>14131.25</v>
      </c>
      <c r="F10" s="27">
        <f>'Fin-Forecast'!F33</f>
        <v>17776.05</v>
      </c>
      <c r="G10" s="27">
        <f>'Fin-Forecast'!G33</f>
        <v>18735.754400000002</v>
      </c>
      <c r="H10" s="27">
        <f>'Fin-Forecast'!H33</f>
        <v>19961.844209999999</v>
      </c>
      <c r="I10" s="27">
        <f>'Fin-Forecast'!I33</f>
        <v>21041.519609879997</v>
      </c>
      <c r="J10" s="27">
        <f>'Fin-Forecast'!J33</f>
        <v>22008.945798839995</v>
      </c>
      <c r="K10" s="27">
        <f>'Fin-Forecast'!K33</f>
        <v>22779.258901799396</v>
      </c>
      <c r="L10" s="27">
        <f>'Fin-Forecast'!L33</f>
        <v>23462.636668853374</v>
      </c>
      <c r="M10" s="27">
        <f>'Fin-Forecast'!M33</f>
        <v>24166.51576891898</v>
      </c>
    </row>
    <row r="12" spans="1:13" x14ac:dyDescent="0.2">
      <c r="A12" s="4" t="s">
        <v>122</v>
      </c>
    </row>
    <row r="13" spans="1:13" x14ac:dyDescent="0.2">
      <c r="A13" s="5" t="s">
        <v>123</v>
      </c>
      <c r="B13" s="27">
        <f>'Fin-Capital'!B13</f>
        <v>128925.5075342471</v>
      </c>
      <c r="C13" s="27">
        <f>'Fin-Capital'!C13</f>
        <v>121640.24794520591</v>
      </c>
      <c r="D13" s="27">
        <f>'Fin-Capital'!D13</f>
        <v>113417.74931506859</v>
      </c>
      <c r="E13" s="27">
        <f>'Fin-Capital'!E13</f>
        <v>121102.6123287668</v>
      </c>
      <c r="F13" s="27">
        <f>'Fin-Capital'!F13</f>
        <v>120607.5479452055</v>
      </c>
      <c r="G13" s="27">
        <f>'Fin-Capital'!G13</f>
        <v>128353.00361481482</v>
      </c>
      <c r="H13" s="27">
        <f>'Fin-Capital'!H13</f>
        <v>134770.65379555555</v>
      </c>
      <c r="I13" s="27">
        <f>'Fin-Capital'!I13</f>
        <v>140835.33321635553</v>
      </c>
      <c r="J13" s="27">
        <f>'Fin-Capital'!J13</f>
        <v>146468.74654500975</v>
      </c>
      <c r="K13" s="27">
        <f>'Fin-Capital'!K13</f>
        <v>151595.15267408511</v>
      </c>
      <c r="L13" s="27">
        <f>'Fin-Capital'!L13</f>
        <v>156143.00725430762</v>
      </c>
      <c r="M13" s="27">
        <f>'Fin-Capital'!M13</f>
        <v>160827.29747193688</v>
      </c>
    </row>
    <row r="14" spans="1:13" x14ac:dyDescent="0.2">
      <c r="A14" s="5" t="s">
        <v>124</v>
      </c>
      <c r="B14" s="27">
        <f>'Fin-Capital'!B14</f>
        <v>138755.5075342471</v>
      </c>
      <c r="C14" s="27">
        <f>'Fin-Capital'!C14</f>
        <v>130869.24794520591</v>
      </c>
      <c r="D14" s="27">
        <f>'Fin-Capital'!D14</f>
        <v>126233.74931506859</v>
      </c>
      <c r="E14" s="27">
        <f>'Fin-Capital'!E14</f>
        <v>126657.6123287668</v>
      </c>
      <c r="F14" s="27">
        <f>'Fin-Capital'!F14</f>
        <v>125864.5479452055</v>
      </c>
      <c r="G14" s="27">
        <f>'Fin-Capital'!G14</f>
        <v>133610.00361481481</v>
      </c>
      <c r="H14" s="27">
        <f>'Fin-Capital'!H14</f>
        <v>140027.65379555555</v>
      </c>
      <c r="I14" s="27">
        <f>'Fin-Capital'!I14</f>
        <v>146092.33321635553</v>
      </c>
      <c r="J14" s="27">
        <f>'Fin-Capital'!J14</f>
        <v>151725.74654500975</v>
      </c>
      <c r="K14" s="27">
        <f>'Fin-Capital'!K14</f>
        <v>156852.15267408511</v>
      </c>
      <c r="L14" s="27">
        <f>'Fin-Capital'!L14</f>
        <v>161400.00725430762</v>
      </c>
      <c r="M14" s="27">
        <f>'Fin-Capital'!M14</f>
        <v>166084.29747193688</v>
      </c>
    </row>
    <row r="15" spans="1:13" x14ac:dyDescent="0.2">
      <c r="A15" s="5" t="s">
        <v>125</v>
      </c>
      <c r="B15" s="27">
        <f>'Fin-Capital'!B18</f>
        <v>77575</v>
      </c>
      <c r="C15" s="27">
        <f>'Fin-Capital'!C18</f>
        <v>64191</v>
      </c>
      <c r="D15" s="27">
        <f>'Fin-Capital'!D18</f>
        <v>60120</v>
      </c>
      <c r="E15" s="27">
        <f>'Fin-Capital'!E18</f>
        <v>67841</v>
      </c>
      <c r="F15" s="27">
        <f>'Fin-Capital'!F18</f>
        <v>68379</v>
      </c>
      <c r="G15" s="27">
        <f>'Fin-Capital'!G18</f>
        <v>66379</v>
      </c>
      <c r="H15" s="27">
        <f>'Fin-Capital'!H18</f>
        <v>64379</v>
      </c>
      <c r="I15" s="27">
        <f>'Fin-Capital'!I18</f>
        <v>62379</v>
      </c>
      <c r="J15" s="27">
        <f>'Fin-Capital'!J18</f>
        <v>60379</v>
      </c>
      <c r="K15" s="27">
        <f>'Fin-Capital'!K18</f>
        <v>58379</v>
      </c>
      <c r="L15" s="27">
        <f>'Fin-Capital'!L18</f>
        <v>56379</v>
      </c>
      <c r="M15" s="27">
        <f>'Fin-Capital'!M18</f>
        <v>54379</v>
      </c>
    </row>
    <row r="17" spans="1:13" x14ac:dyDescent="0.2">
      <c r="A17" s="4" t="s">
        <v>126</v>
      </c>
    </row>
    <row r="18" spans="1:13" x14ac:dyDescent="0.2">
      <c r="A18" s="5" t="s">
        <v>127</v>
      </c>
      <c r="B18" s="27">
        <f>'Fin-FCF'!B22</f>
        <v>0</v>
      </c>
      <c r="C18" s="27">
        <f>'Fin-FCF'!C22</f>
        <v>27097.959589041195</v>
      </c>
      <c r="D18" s="27">
        <f>'Fin-FCF'!D22</f>
        <v>20005.198630137311</v>
      </c>
      <c r="E18" s="27">
        <f>'Fin-FCF'!E22</f>
        <v>13707.38698630179</v>
      </c>
      <c r="F18" s="27">
        <f>'Fin-FCF'!F22</f>
        <v>18569.114383561297</v>
      </c>
      <c r="G18" s="27">
        <f>'Fin-FCF'!G22</f>
        <v>10990.298730390685</v>
      </c>
      <c r="H18" s="27">
        <f>'Fin-FCF'!H22</f>
        <v>13544.19402925927</v>
      </c>
      <c r="I18" s="27">
        <f>'Fin-FCF'!I22</f>
        <v>14976.840189080016</v>
      </c>
      <c r="J18" s="27">
        <f>'Fin-FCF'!J22</f>
        <v>16375.532470185768</v>
      </c>
      <c r="K18" s="27">
        <f>'Fin-FCF'!K22</f>
        <v>17652.852772724058</v>
      </c>
      <c r="L18" s="27">
        <f>'Fin-FCF'!L22</f>
        <v>18914.782088630847</v>
      </c>
      <c r="M18" s="27">
        <f>'Fin-FCF'!M22</f>
        <v>19482.225551289717</v>
      </c>
    </row>
    <row r="19" spans="1:13" x14ac:dyDescent="0.2">
      <c r="A19" s="5" t="s">
        <v>128</v>
      </c>
      <c r="B19" s="27">
        <f>'Fin-FCF'!B25</f>
        <v>0</v>
      </c>
      <c r="C19" s="27">
        <f>'Fin-FCF'!C25</f>
        <v>11719.859589041196</v>
      </c>
      <c r="D19" s="27">
        <f>'Fin-FCF'!D25</f>
        <v>13928.198630137311</v>
      </c>
      <c r="E19" s="27">
        <f>'Fin-FCF'!E25</f>
        <v>18917.486986301788</v>
      </c>
      <c r="F19" s="27">
        <f>'Fin-FCF'!F25</f>
        <v>16506.964383561295</v>
      </c>
      <c r="G19" s="27">
        <f>'Fin-FCF'!G25</f>
        <v>6413.0519803906845</v>
      </c>
      <c r="H19" s="27">
        <f>'Fin-FCF'!H25</f>
        <v>9043.4472792592696</v>
      </c>
      <c r="I19" s="27">
        <f>'Fin-FCF'!I25</f>
        <v>10552.593439080016</v>
      </c>
      <c r="J19" s="27">
        <f>'Fin-FCF'!J25</f>
        <v>12027.785720185768</v>
      </c>
      <c r="K19" s="27">
        <f>'Fin-FCF'!K25</f>
        <v>13381.606022724058</v>
      </c>
      <c r="L19" s="27">
        <f>'Fin-FCF'!L25</f>
        <v>14720.035338630849</v>
      </c>
      <c r="M19" s="27">
        <f>'Fin-FCF'!M25</f>
        <v>15363.978801289719</v>
      </c>
    </row>
    <row r="21" spans="1:13" x14ac:dyDescent="0.2">
      <c r="A21" s="4" t="s">
        <v>129</v>
      </c>
    </row>
    <row r="22" spans="1:13" x14ac:dyDescent="0.2">
      <c r="A22" s="5" t="s">
        <v>130</v>
      </c>
      <c r="B22" s="9">
        <f>'Fin-Forecast'!B35</f>
        <v>6.4535734383792906</v>
      </c>
      <c r="C22" s="9">
        <f>'Fin-Forecast'!C35</f>
        <v>6.6265466816647915</v>
      </c>
      <c r="D22" s="9">
        <f>'Fin-Forecast'!D35</f>
        <v>2.7185561195713479</v>
      </c>
      <c r="E22" s="9">
        <f>'Fin-Forecast'!E35</f>
        <v>2.3902989283699942</v>
      </c>
      <c r="F22" s="9">
        <f>'Fin-Forecast'!F35</f>
        <v>2.3609701071630007</v>
      </c>
      <c r="G22" s="9">
        <f>'Fin-Forecast'!G35</f>
        <v>9.1585715751989945</v>
      </c>
      <c r="H22" s="9">
        <f>'Fin-Forecast'!H35</f>
        <v>9.9428785271308033</v>
      </c>
      <c r="I22" s="9">
        <f>'Fin-Forecast'!I35</f>
        <v>10.647880068270849</v>
      </c>
      <c r="J22" s="9">
        <f>'Fin-Forecast'!J35</f>
        <v>11.29190760259395</v>
      </c>
      <c r="K22" s="9">
        <f>'Fin-Forecast'!K35</f>
        <v>11.82509059301033</v>
      </c>
      <c r="L22" s="9">
        <f>'Fin-Forecast'!L35</f>
        <v>12.30978621368318</v>
      </c>
      <c r="M22" s="9">
        <f>'Fin-Forecast'!M35</f>
        <v>12.807799079850248</v>
      </c>
    </row>
    <row r="23" spans="1:13" x14ac:dyDescent="0.2">
      <c r="A23" s="5" t="s">
        <v>131</v>
      </c>
      <c r="B23" s="9">
        <f>'Fin-Forecast'!B36</f>
        <v>5.2</v>
      </c>
      <c r="C23" s="9">
        <f>'Fin-Forecast'!C36</f>
        <v>5.64</v>
      </c>
      <c r="D23" s="9">
        <f>'Fin-Forecast'!D36</f>
        <v>5.92</v>
      </c>
      <c r="E23" s="9">
        <f>'Fin-Forecast'!E36</f>
        <v>6.29</v>
      </c>
      <c r="F23" s="9">
        <f>'Fin-Forecast'!F36</f>
        <v>6.65</v>
      </c>
      <c r="G23" s="9">
        <f>'Fin-Forecast'!G36</f>
        <v>7.05</v>
      </c>
      <c r="H23" s="9">
        <f>'Fin-Forecast'!H36</f>
        <v>7.44</v>
      </c>
      <c r="I23" s="9">
        <f>'Fin-Forecast'!I36</f>
        <v>7.85</v>
      </c>
      <c r="J23" s="9">
        <f>'Fin-Forecast'!J36</f>
        <v>8.2799999999999994</v>
      </c>
      <c r="K23" s="9">
        <f>'Fin-Forecast'!K36</f>
        <v>8.73</v>
      </c>
      <c r="L23" s="9">
        <f>'Fin-Forecast'!L36</f>
        <v>9.2100000000000009</v>
      </c>
      <c r="M23" s="9">
        <f>'Fin-Forecast'!M36</f>
        <v>9.7200000000000006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A36"/>
  <sheetViews>
    <sheetView showGridLines="0" zoomScaleNormal="10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R25" sqref="R25"/>
    </sheetView>
  </sheetViews>
  <sheetFormatPr baseColWidth="10" defaultColWidth="8.6640625" defaultRowHeight="15" x14ac:dyDescent="0.2"/>
  <cols>
    <col min="1" max="1" width="40" customWidth="1"/>
    <col min="2" max="27" width="12" customWidth="1"/>
  </cols>
  <sheetData>
    <row r="1" spans="1:27" ht="16" x14ac:dyDescent="0.2">
      <c r="A1" s="7" t="s">
        <v>132</v>
      </c>
    </row>
    <row r="2" spans="1:27" x14ac:dyDescent="0.2">
      <c r="A2" s="6" t="s">
        <v>133</v>
      </c>
    </row>
    <row r="3" spans="1:27" x14ac:dyDescent="0.2">
      <c r="G3" s="28" t="s">
        <v>134</v>
      </c>
      <c r="N3" s="29" t="s">
        <v>135</v>
      </c>
      <c r="U3" s="30" t="s">
        <v>136</v>
      </c>
    </row>
    <row r="4" spans="1:27" x14ac:dyDescent="0.2">
      <c r="A4" s="13" t="s">
        <v>59</v>
      </c>
      <c r="B4" s="14" t="s">
        <v>113</v>
      </c>
      <c r="C4" s="14" t="s">
        <v>114</v>
      </c>
      <c r="D4" s="14" t="s">
        <v>115</v>
      </c>
      <c r="E4" s="14" t="s">
        <v>60</v>
      </c>
      <c r="F4" s="14" t="s">
        <v>61</v>
      </c>
      <c r="G4" s="26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26" t="s">
        <v>67</v>
      </c>
      <c r="M4" s="26" t="s">
        <v>68</v>
      </c>
      <c r="N4" s="31" t="s">
        <v>62</v>
      </c>
      <c r="O4" s="31" t="s">
        <v>63</v>
      </c>
      <c r="P4" s="31" t="s">
        <v>64</v>
      </c>
      <c r="Q4" s="31" t="s">
        <v>65</v>
      </c>
      <c r="R4" s="31" t="s">
        <v>66</v>
      </c>
      <c r="S4" s="31" t="s">
        <v>67</v>
      </c>
      <c r="T4" s="31" t="s">
        <v>68</v>
      </c>
      <c r="U4" s="32" t="s">
        <v>62</v>
      </c>
      <c r="V4" s="32" t="s">
        <v>63</v>
      </c>
      <c r="W4" s="32" t="s">
        <v>64</v>
      </c>
      <c r="X4" s="32" t="s">
        <v>65</v>
      </c>
      <c r="Y4" s="32" t="s">
        <v>66</v>
      </c>
      <c r="Z4" s="32" t="s">
        <v>67</v>
      </c>
      <c r="AA4" s="32" t="s">
        <v>68</v>
      </c>
    </row>
    <row r="5" spans="1:27" x14ac:dyDescent="0.2">
      <c r="A5" s="4" t="s">
        <v>137</v>
      </c>
    </row>
    <row r="6" spans="1:27" x14ac:dyDescent="0.2">
      <c r="A6" s="5" t="s">
        <v>138</v>
      </c>
      <c r="G6" s="21">
        <v>0.06</v>
      </c>
      <c r="H6" s="21">
        <v>0.05</v>
      </c>
      <c r="I6" s="21">
        <v>4.4999999999999998E-2</v>
      </c>
      <c r="J6" s="21">
        <v>0.04</v>
      </c>
      <c r="K6" s="21">
        <v>3.5000000000000003E-2</v>
      </c>
      <c r="L6" s="21">
        <v>0.03</v>
      </c>
      <c r="M6" s="21">
        <v>0.03</v>
      </c>
      <c r="N6" s="21">
        <v>0.09</v>
      </c>
      <c r="O6" s="21">
        <v>0.08</v>
      </c>
      <c r="P6" s="21">
        <v>7.0000000000000007E-2</v>
      </c>
      <c r="Q6" s="21">
        <v>0.06</v>
      </c>
      <c r="R6" s="21">
        <v>0.05</v>
      </c>
      <c r="S6" s="21">
        <v>0.04</v>
      </c>
      <c r="T6" s="21">
        <v>0.04</v>
      </c>
      <c r="U6" s="21">
        <v>0.02</v>
      </c>
      <c r="V6" s="21">
        <v>0.01</v>
      </c>
      <c r="W6" s="21">
        <v>0</v>
      </c>
      <c r="X6" s="21">
        <v>-0.01</v>
      </c>
      <c r="Y6" s="21">
        <v>0.01</v>
      </c>
      <c r="Z6" s="21">
        <v>0.02</v>
      </c>
      <c r="AA6" s="21">
        <v>0.02</v>
      </c>
    </row>
    <row r="7" spans="1:27" x14ac:dyDescent="0.2">
      <c r="A7" s="5" t="s">
        <v>139</v>
      </c>
      <c r="G7" s="21">
        <v>0.34</v>
      </c>
      <c r="H7" s="21">
        <v>0.34499999999999997</v>
      </c>
      <c r="I7" s="21">
        <v>0.34799999999999998</v>
      </c>
      <c r="J7" s="21">
        <v>0.35</v>
      </c>
      <c r="K7" s="21">
        <v>0.35</v>
      </c>
      <c r="L7" s="21">
        <v>0.35</v>
      </c>
      <c r="M7" s="21">
        <v>0.35</v>
      </c>
      <c r="N7" s="21">
        <v>0.35499999999999998</v>
      </c>
      <c r="O7" s="21">
        <v>0.36</v>
      </c>
      <c r="P7" s="21">
        <v>0.36499999999999999</v>
      </c>
      <c r="Q7" s="21">
        <v>0.36799999999999999</v>
      </c>
      <c r="R7" s="21">
        <v>0.37</v>
      </c>
      <c r="S7" s="21">
        <v>0.37</v>
      </c>
      <c r="T7" s="21">
        <v>0.37</v>
      </c>
      <c r="U7" s="21">
        <v>0.32</v>
      </c>
      <c r="V7" s="21">
        <v>0.318</v>
      </c>
      <c r="W7" s="21">
        <v>0.315</v>
      </c>
      <c r="X7" s="21">
        <v>0.315</v>
      </c>
      <c r="Y7" s="21">
        <v>0.315</v>
      </c>
      <c r="Z7" s="21">
        <v>0.315</v>
      </c>
      <c r="AA7" s="21">
        <v>0.315</v>
      </c>
    </row>
    <row r="8" spans="1:27" x14ac:dyDescent="0.2">
      <c r="A8" s="5" t="s">
        <v>140</v>
      </c>
      <c r="G8" s="21">
        <v>0.7</v>
      </c>
      <c r="H8" s="21">
        <v>0.7</v>
      </c>
      <c r="I8" s="21">
        <v>0.7</v>
      </c>
      <c r="J8" s="21">
        <v>0.7</v>
      </c>
      <c r="K8" s="21">
        <v>0.7</v>
      </c>
      <c r="L8" s="21">
        <v>0.7</v>
      </c>
      <c r="M8" s="21">
        <v>0.7</v>
      </c>
      <c r="N8" s="21">
        <v>0.71</v>
      </c>
      <c r="O8" s="21">
        <v>0.71199999999999997</v>
      </c>
      <c r="P8" s="21">
        <v>0.71299999999999997</v>
      </c>
      <c r="Q8" s="21">
        <v>0.71399999999999997</v>
      </c>
      <c r="R8" s="21">
        <v>0.71499999999999997</v>
      </c>
      <c r="S8" s="21">
        <v>0.71499999999999997</v>
      </c>
      <c r="T8" s="21">
        <v>0.71499999999999997</v>
      </c>
      <c r="U8" s="21">
        <v>0.69</v>
      </c>
      <c r="V8" s="21">
        <v>0.68799999999999994</v>
      </c>
      <c r="W8" s="21">
        <v>0.68600000000000005</v>
      </c>
      <c r="X8" s="21">
        <v>0.68500000000000005</v>
      </c>
      <c r="Y8" s="21">
        <v>0.68500000000000005</v>
      </c>
      <c r="Z8" s="21">
        <v>0.68500000000000005</v>
      </c>
      <c r="AA8" s="21">
        <v>0.68500000000000005</v>
      </c>
    </row>
    <row r="9" spans="1:27" x14ac:dyDescent="0.2">
      <c r="A9" s="5" t="s">
        <v>96</v>
      </c>
      <c r="G9" s="21">
        <v>0.15</v>
      </c>
      <c r="H9" s="21">
        <v>0.15</v>
      </c>
      <c r="I9" s="21">
        <v>0.15</v>
      </c>
      <c r="J9" s="21">
        <v>0.15</v>
      </c>
      <c r="K9" s="21">
        <v>0.15</v>
      </c>
      <c r="L9" s="21">
        <v>0.15</v>
      </c>
      <c r="M9" s="21">
        <v>0.15</v>
      </c>
      <c r="N9" s="21">
        <v>0.15</v>
      </c>
      <c r="O9" s="21">
        <v>0.15</v>
      </c>
      <c r="P9" s="21">
        <v>0.15</v>
      </c>
      <c r="Q9" s="21">
        <v>0.15</v>
      </c>
      <c r="R9" s="21">
        <v>0.15</v>
      </c>
      <c r="S9" s="21">
        <v>0.15</v>
      </c>
      <c r="T9" s="21">
        <v>0.15</v>
      </c>
      <c r="U9" s="21">
        <v>0.15</v>
      </c>
      <c r="V9" s="21">
        <v>0.15</v>
      </c>
      <c r="W9" s="21">
        <v>0.15</v>
      </c>
      <c r="X9" s="21">
        <v>0.15</v>
      </c>
      <c r="Y9" s="21">
        <v>0.15</v>
      </c>
      <c r="Z9" s="21">
        <v>0.15</v>
      </c>
      <c r="AA9" s="21">
        <v>0.15</v>
      </c>
    </row>
    <row r="10" spans="1:27" x14ac:dyDescent="0.2">
      <c r="A10" s="5" t="s">
        <v>141</v>
      </c>
      <c r="G10" s="21">
        <v>4.4999999999999998E-2</v>
      </c>
      <c r="H10" s="21">
        <v>4.4999999999999998E-2</v>
      </c>
      <c r="I10" s="21">
        <v>4.4999999999999998E-2</v>
      </c>
      <c r="J10" s="21">
        <v>4.4999999999999998E-2</v>
      </c>
      <c r="K10" s="21">
        <v>4.4999999999999998E-2</v>
      </c>
      <c r="L10" s="21">
        <v>4.4999999999999998E-2</v>
      </c>
      <c r="M10" s="21">
        <v>4.4999999999999998E-2</v>
      </c>
      <c r="N10" s="21">
        <v>4.4999999999999998E-2</v>
      </c>
      <c r="O10" s="21">
        <v>4.4999999999999998E-2</v>
      </c>
      <c r="P10" s="21">
        <v>4.4999999999999998E-2</v>
      </c>
      <c r="Q10" s="21">
        <v>4.4999999999999998E-2</v>
      </c>
      <c r="R10" s="21">
        <v>4.4999999999999998E-2</v>
      </c>
      <c r="S10" s="21">
        <v>4.4999999999999998E-2</v>
      </c>
      <c r="T10" s="21">
        <v>4.4999999999999998E-2</v>
      </c>
      <c r="U10" s="21">
        <v>4.4999999999999998E-2</v>
      </c>
      <c r="V10" s="21">
        <v>4.4999999999999998E-2</v>
      </c>
      <c r="W10" s="21">
        <v>4.4999999999999998E-2</v>
      </c>
      <c r="X10" s="21">
        <v>4.4999999999999998E-2</v>
      </c>
      <c r="Y10" s="21">
        <v>4.4999999999999998E-2</v>
      </c>
      <c r="Z10" s="21">
        <v>4.4999999999999998E-2</v>
      </c>
      <c r="AA10" s="21">
        <v>4.4999999999999998E-2</v>
      </c>
    </row>
    <row r="12" spans="1:27" x14ac:dyDescent="0.2">
      <c r="A12" s="4" t="s">
        <v>142</v>
      </c>
    </row>
    <row r="13" spans="1:27" x14ac:dyDescent="0.2">
      <c r="A13" s="5" t="s">
        <v>143</v>
      </c>
      <c r="G13" s="21">
        <v>0.31</v>
      </c>
      <c r="H13" s="21">
        <v>0.31</v>
      </c>
      <c r="I13" s="21">
        <v>0.31</v>
      </c>
      <c r="J13" s="21">
        <v>0.31</v>
      </c>
      <c r="K13" s="21">
        <v>0.31</v>
      </c>
      <c r="L13" s="21">
        <v>0.31</v>
      </c>
      <c r="M13" s="21">
        <v>0.31</v>
      </c>
      <c r="N13" s="21">
        <v>0.31</v>
      </c>
      <c r="O13" s="21">
        <v>0.31</v>
      </c>
      <c r="P13" s="21">
        <v>0.31</v>
      </c>
      <c r="Q13" s="21">
        <v>0.31</v>
      </c>
      <c r="R13" s="21">
        <v>0.31</v>
      </c>
      <c r="S13" s="21">
        <v>0.31</v>
      </c>
      <c r="T13" s="21">
        <v>0.31</v>
      </c>
      <c r="U13" s="21">
        <v>0.31</v>
      </c>
      <c r="V13" s="21">
        <v>0.31</v>
      </c>
      <c r="W13" s="21">
        <v>0.31</v>
      </c>
      <c r="X13" s="21">
        <v>0.31</v>
      </c>
      <c r="Y13" s="21">
        <v>0.31</v>
      </c>
      <c r="Z13" s="21">
        <v>0.31</v>
      </c>
      <c r="AA13" s="21">
        <v>0.31</v>
      </c>
    </row>
    <row r="14" spans="1:27" x14ac:dyDescent="0.2">
      <c r="A14" s="5" t="s">
        <v>144</v>
      </c>
      <c r="G14" s="21">
        <v>0.182</v>
      </c>
      <c r="H14" s="21">
        <v>0.182</v>
      </c>
      <c r="I14" s="21">
        <v>0.182</v>
      </c>
      <c r="J14" s="21">
        <v>0.182</v>
      </c>
      <c r="K14" s="21">
        <v>0.182</v>
      </c>
      <c r="L14" s="21">
        <v>0.182</v>
      </c>
      <c r="M14" s="21">
        <v>0.182</v>
      </c>
      <c r="N14" s="21">
        <v>0.182</v>
      </c>
      <c r="O14" s="21">
        <v>0.182</v>
      </c>
      <c r="P14" s="21">
        <v>0.182</v>
      </c>
      <c r="Q14" s="21">
        <v>0.182</v>
      </c>
      <c r="R14" s="21">
        <v>0.182</v>
      </c>
      <c r="S14" s="21">
        <v>0.182</v>
      </c>
      <c r="T14" s="21">
        <v>0.182</v>
      </c>
      <c r="U14" s="21">
        <v>0.182</v>
      </c>
      <c r="V14" s="21">
        <v>0.182</v>
      </c>
      <c r="W14" s="21">
        <v>0.182</v>
      </c>
      <c r="X14" s="21">
        <v>0.182</v>
      </c>
      <c r="Y14" s="21">
        <v>0.182</v>
      </c>
      <c r="Z14" s="21">
        <v>0.182</v>
      </c>
      <c r="AA14" s="21">
        <v>0.182</v>
      </c>
    </row>
    <row r="15" spans="1:27" x14ac:dyDescent="0.2">
      <c r="A15" s="5" t="s">
        <v>145</v>
      </c>
      <c r="G15" s="24">
        <v>0.54</v>
      </c>
      <c r="H15" s="24">
        <v>0.54</v>
      </c>
      <c r="I15" s="24">
        <v>0.54</v>
      </c>
      <c r="J15" s="24">
        <v>0.54</v>
      </c>
      <c r="K15" s="24">
        <v>0.54</v>
      </c>
      <c r="L15" s="24">
        <v>0.54</v>
      </c>
      <c r="M15" s="24">
        <v>0.54</v>
      </c>
      <c r="N15" s="24">
        <v>0.54</v>
      </c>
      <c r="O15" s="24">
        <v>0.54</v>
      </c>
      <c r="P15" s="24">
        <v>0.54</v>
      </c>
      <c r="Q15" s="24">
        <v>0.54</v>
      </c>
      <c r="R15" s="24">
        <v>0.54</v>
      </c>
      <c r="S15" s="24">
        <v>0.54</v>
      </c>
      <c r="T15" s="24">
        <v>0.54</v>
      </c>
      <c r="U15" s="24">
        <v>0.54</v>
      </c>
      <c r="V15" s="24">
        <v>0.54</v>
      </c>
      <c r="W15" s="24">
        <v>0.54</v>
      </c>
      <c r="X15" s="24">
        <v>0.54</v>
      </c>
      <c r="Y15" s="24">
        <v>0.54</v>
      </c>
      <c r="Z15" s="24">
        <v>0.54</v>
      </c>
      <c r="AA15" s="24">
        <v>0.54</v>
      </c>
    </row>
    <row r="16" spans="1:27" x14ac:dyDescent="0.2">
      <c r="A16" s="5" t="s">
        <v>103</v>
      </c>
      <c r="G16" s="25">
        <v>2000</v>
      </c>
      <c r="H16" s="25">
        <v>2000</v>
      </c>
      <c r="I16" s="25">
        <v>2000</v>
      </c>
      <c r="J16" s="25">
        <v>2000</v>
      </c>
      <c r="K16" s="25">
        <v>2000</v>
      </c>
      <c r="L16" s="25">
        <v>2000</v>
      </c>
      <c r="M16" s="25">
        <v>2000</v>
      </c>
      <c r="N16" s="25">
        <v>2000</v>
      </c>
      <c r="O16" s="25">
        <v>2000</v>
      </c>
      <c r="P16" s="25">
        <v>2000</v>
      </c>
      <c r="Q16" s="25">
        <v>2000</v>
      </c>
      <c r="R16" s="25">
        <v>2000</v>
      </c>
      <c r="S16" s="25">
        <v>2000</v>
      </c>
      <c r="T16" s="25">
        <v>2000</v>
      </c>
      <c r="U16" s="25">
        <v>2000</v>
      </c>
      <c r="V16" s="25">
        <v>2000</v>
      </c>
      <c r="W16" s="25">
        <v>2000</v>
      </c>
      <c r="X16" s="25">
        <v>2000</v>
      </c>
      <c r="Y16" s="25">
        <v>2000</v>
      </c>
      <c r="Z16" s="25">
        <v>2000</v>
      </c>
      <c r="AA16" s="25">
        <v>2000</v>
      </c>
    </row>
    <row r="17" spans="1:27" x14ac:dyDescent="0.2">
      <c r="A17" s="5" t="s">
        <v>146</v>
      </c>
      <c r="G17" s="15">
        <v>230</v>
      </c>
      <c r="H17" s="15">
        <v>245</v>
      </c>
      <c r="I17" s="15">
        <v>260</v>
      </c>
      <c r="J17" s="15">
        <v>275</v>
      </c>
      <c r="K17" s="15">
        <v>290</v>
      </c>
      <c r="L17" s="15">
        <v>305</v>
      </c>
      <c r="M17" s="15">
        <v>320</v>
      </c>
      <c r="N17" s="15">
        <v>230</v>
      </c>
      <c r="O17" s="15">
        <v>245</v>
      </c>
      <c r="P17" s="15">
        <v>260</v>
      </c>
      <c r="Q17" s="15">
        <v>275</v>
      </c>
      <c r="R17" s="15">
        <v>290</v>
      </c>
      <c r="S17" s="15">
        <v>305</v>
      </c>
      <c r="T17" s="15">
        <v>320</v>
      </c>
      <c r="U17" s="15">
        <v>230</v>
      </c>
      <c r="V17" s="15">
        <v>245</v>
      </c>
      <c r="W17" s="15">
        <v>260</v>
      </c>
      <c r="X17" s="15">
        <v>275</v>
      </c>
      <c r="Y17" s="15">
        <v>290</v>
      </c>
      <c r="Z17" s="15">
        <v>305</v>
      </c>
      <c r="AA17" s="15">
        <v>320</v>
      </c>
    </row>
    <row r="18" spans="1:27" x14ac:dyDescent="0.2">
      <c r="A18" s="5" t="s">
        <v>147</v>
      </c>
      <c r="G18" s="15">
        <v>7.05</v>
      </c>
      <c r="H18" s="15">
        <v>7.44</v>
      </c>
      <c r="I18" s="15">
        <v>7.85</v>
      </c>
      <c r="J18" s="15">
        <v>8.2799999999999994</v>
      </c>
      <c r="K18" s="15">
        <v>8.73</v>
      </c>
      <c r="L18" s="15">
        <v>9.2100000000000009</v>
      </c>
      <c r="M18" s="15">
        <v>9.7200000000000006</v>
      </c>
      <c r="N18" s="15">
        <v>7.05</v>
      </c>
      <c r="O18" s="15">
        <v>7.44</v>
      </c>
      <c r="P18" s="15">
        <v>7.85</v>
      </c>
      <c r="Q18" s="15">
        <v>8.2799999999999994</v>
      </c>
      <c r="R18" s="15">
        <v>8.73</v>
      </c>
      <c r="S18" s="15">
        <v>9.2100000000000009</v>
      </c>
      <c r="T18" s="15">
        <v>9.7200000000000006</v>
      </c>
      <c r="U18" s="15">
        <v>7.05</v>
      </c>
      <c r="V18" s="15">
        <v>7.44</v>
      </c>
      <c r="W18" s="15">
        <v>7.85</v>
      </c>
      <c r="X18" s="15">
        <v>8.2799999999999994</v>
      </c>
      <c r="Y18" s="15">
        <v>8.73</v>
      </c>
      <c r="Z18" s="15">
        <v>9.2100000000000009</v>
      </c>
      <c r="AA18" s="15">
        <v>9.7200000000000006</v>
      </c>
    </row>
    <row r="20" spans="1:27" x14ac:dyDescent="0.2">
      <c r="A20" s="4" t="s">
        <v>116</v>
      </c>
    </row>
    <row r="21" spans="1:27" x14ac:dyDescent="0.2">
      <c r="A21" s="10" t="s">
        <v>117</v>
      </c>
      <c r="B21" s="25">
        <v>56197</v>
      </c>
      <c r="C21" s="25">
        <v>58054</v>
      </c>
      <c r="D21" s="25">
        <v>54318</v>
      </c>
      <c r="E21" s="25">
        <v>56334</v>
      </c>
      <c r="F21" s="25">
        <v>61160</v>
      </c>
      <c r="G21" s="33">
        <f t="shared" ref="G21:M21" si="0">F21*(1+G6)</f>
        <v>64829.600000000006</v>
      </c>
      <c r="H21" s="33">
        <f t="shared" si="0"/>
        <v>68071.08</v>
      </c>
      <c r="I21" s="33">
        <f t="shared" si="0"/>
        <v>71134.278599999991</v>
      </c>
      <c r="J21" s="33">
        <f t="shared" si="0"/>
        <v>73979.649743999995</v>
      </c>
      <c r="K21" s="33">
        <f t="shared" si="0"/>
        <v>76568.937485039991</v>
      </c>
      <c r="L21" s="33">
        <f t="shared" si="0"/>
        <v>78866.005609591186</v>
      </c>
      <c r="M21" s="33">
        <f t="shared" si="0"/>
        <v>81231.98577787893</v>
      </c>
      <c r="N21" s="33">
        <f>F21*(1+N6)</f>
        <v>66664.400000000009</v>
      </c>
      <c r="O21" s="33">
        <f t="shared" ref="O21:T21" si="1">N21*(1+O6)</f>
        <v>71997.552000000011</v>
      </c>
      <c r="P21" s="33">
        <f t="shared" si="1"/>
        <v>77037.380640000018</v>
      </c>
      <c r="Q21" s="33">
        <f t="shared" si="1"/>
        <v>81659.623478400026</v>
      </c>
      <c r="R21" s="33">
        <f t="shared" si="1"/>
        <v>85742.604652320035</v>
      </c>
      <c r="S21" s="33">
        <f t="shared" si="1"/>
        <v>89172.308838412835</v>
      </c>
      <c r="T21" s="33">
        <f t="shared" si="1"/>
        <v>92739.201191949353</v>
      </c>
      <c r="U21" s="33">
        <f>F21*(1+U6)</f>
        <v>62383.200000000004</v>
      </c>
      <c r="V21" s="33">
        <f t="shared" ref="V21:AA21" si="2">U21*(1+V6)</f>
        <v>63007.032000000007</v>
      </c>
      <c r="W21" s="33">
        <f t="shared" si="2"/>
        <v>63007.032000000007</v>
      </c>
      <c r="X21" s="33">
        <f t="shared" si="2"/>
        <v>62376.961680000008</v>
      </c>
      <c r="Y21" s="33">
        <f t="shared" si="2"/>
        <v>63000.731296800011</v>
      </c>
      <c r="Z21" s="33">
        <f t="shared" si="2"/>
        <v>64260.745922736016</v>
      </c>
      <c r="AA21" s="33">
        <f t="shared" si="2"/>
        <v>65545.960841190739</v>
      </c>
    </row>
    <row r="22" spans="1:27" x14ac:dyDescent="0.2">
      <c r="A22" s="3" t="s">
        <v>148</v>
      </c>
      <c r="C22" s="34">
        <f t="shared" ref="C22:M22" si="3">C21/B21-1</f>
        <v>3.3044468565937679E-2</v>
      </c>
      <c r="D22" s="34">
        <f t="shared" si="3"/>
        <v>-6.4353877424466854E-2</v>
      </c>
      <c r="E22" s="34">
        <f t="shared" si="3"/>
        <v>3.7114768584999513E-2</v>
      </c>
      <c r="F22" s="34">
        <f t="shared" si="3"/>
        <v>8.5667625235204214E-2</v>
      </c>
      <c r="G22" s="34">
        <f t="shared" si="3"/>
        <v>6.0000000000000053E-2</v>
      </c>
      <c r="H22" s="34">
        <f t="shared" si="3"/>
        <v>4.9999999999999822E-2</v>
      </c>
      <c r="I22" s="34">
        <f t="shared" si="3"/>
        <v>4.4999999999999929E-2</v>
      </c>
      <c r="J22" s="34">
        <f t="shared" si="3"/>
        <v>4.0000000000000036E-2</v>
      </c>
      <c r="K22" s="34">
        <f t="shared" si="3"/>
        <v>3.499999999999992E-2</v>
      </c>
      <c r="L22" s="34">
        <f t="shared" si="3"/>
        <v>3.0000000000000027E-2</v>
      </c>
      <c r="M22" s="34">
        <f t="shared" si="3"/>
        <v>3.0000000000000027E-2</v>
      </c>
      <c r="N22" s="34">
        <f>N21/F21-1</f>
        <v>9.000000000000008E-2</v>
      </c>
      <c r="O22" s="34">
        <f t="shared" ref="O22:T22" si="4">O21/N21-1</f>
        <v>8.0000000000000071E-2</v>
      </c>
      <c r="P22" s="34">
        <f t="shared" si="4"/>
        <v>7.0000000000000062E-2</v>
      </c>
      <c r="Q22" s="34">
        <f t="shared" si="4"/>
        <v>6.0000000000000053E-2</v>
      </c>
      <c r="R22" s="34">
        <f t="shared" si="4"/>
        <v>5.0000000000000044E-2</v>
      </c>
      <c r="S22" s="34">
        <f t="shared" si="4"/>
        <v>4.0000000000000036E-2</v>
      </c>
      <c r="T22" s="34">
        <f t="shared" si="4"/>
        <v>4.0000000000000036E-2</v>
      </c>
      <c r="U22" s="34">
        <f>U21/F21-1</f>
        <v>2.0000000000000018E-2</v>
      </c>
      <c r="V22" s="34">
        <f t="shared" ref="V22:AA22" si="5">V21/U21-1</f>
        <v>1.0000000000000009E-2</v>
      </c>
      <c r="W22" s="34">
        <f t="shared" si="5"/>
        <v>0</v>
      </c>
      <c r="X22" s="34">
        <f t="shared" si="5"/>
        <v>-1.0000000000000009E-2</v>
      </c>
      <c r="Y22" s="34">
        <f t="shared" si="5"/>
        <v>1.0000000000000009E-2</v>
      </c>
      <c r="Z22" s="34">
        <f t="shared" si="5"/>
        <v>2.0000000000000018E-2</v>
      </c>
      <c r="AA22" s="34">
        <f t="shared" si="5"/>
        <v>2.0000000000000018E-2</v>
      </c>
    </row>
    <row r="23" spans="1:27" x14ac:dyDescent="0.2">
      <c r="A23" s="5" t="s">
        <v>118</v>
      </c>
      <c r="B23" s="25">
        <v>39053</v>
      </c>
      <c r="C23" s="25">
        <v>41609</v>
      </c>
      <c r="D23" s="25">
        <v>37668</v>
      </c>
      <c r="E23" s="25">
        <v>39503</v>
      </c>
      <c r="F23" s="25">
        <v>42890</v>
      </c>
      <c r="G23" s="33">
        <f t="shared" ref="G23:AA23" si="6">G21*G8</f>
        <v>45380.72</v>
      </c>
      <c r="H23" s="33">
        <f t="shared" si="6"/>
        <v>47649.756000000001</v>
      </c>
      <c r="I23" s="33">
        <f t="shared" si="6"/>
        <v>49793.995019999988</v>
      </c>
      <c r="J23" s="33">
        <f t="shared" si="6"/>
        <v>51785.754820799993</v>
      </c>
      <c r="K23" s="33">
        <f t="shared" si="6"/>
        <v>53598.256239527989</v>
      </c>
      <c r="L23" s="33">
        <f t="shared" si="6"/>
        <v>55206.203926713824</v>
      </c>
      <c r="M23" s="33">
        <f t="shared" si="6"/>
        <v>56862.390044515247</v>
      </c>
      <c r="N23" s="33">
        <f t="shared" si="6"/>
        <v>47331.724000000002</v>
      </c>
      <c r="O23" s="33">
        <f t="shared" si="6"/>
        <v>51262.257024000006</v>
      </c>
      <c r="P23" s="33">
        <f t="shared" si="6"/>
        <v>54927.652396320009</v>
      </c>
      <c r="Q23" s="33">
        <f t="shared" si="6"/>
        <v>58304.971163577618</v>
      </c>
      <c r="R23" s="33">
        <f t="shared" si="6"/>
        <v>61305.962326408822</v>
      </c>
      <c r="S23" s="33">
        <f t="shared" si="6"/>
        <v>63758.200819465172</v>
      </c>
      <c r="T23" s="33">
        <f t="shared" si="6"/>
        <v>66308.528852243791</v>
      </c>
      <c r="U23" s="33">
        <f t="shared" si="6"/>
        <v>43044.408000000003</v>
      </c>
      <c r="V23" s="33">
        <f t="shared" si="6"/>
        <v>43348.838016000002</v>
      </c>
      <c r="W23" s="33">
        <f t="shared" si="6"/>
        <v>43222.823952000006</v>
      </c>
      <c r="X23" s="33">
        <f t="shared" si="6"/>
        <v>42728.218750800006</v>
      </c>
      <c r="Y23" s="33">
        <f t="shared" si="6"/>
        <v>43155.500938308011</v>
      </c>
      <c r="Z23" s="33">
        <f t="shared" si="6"/>
        <v>44018.610957074176</v>
      </c>
      <c r="AA23" s="33">
        <f t="shared" si="6"/>
        <v>44898.983176215661</v>
      </c>
    </row>
    <row r="24" spans="1:27" x14ac:dyDescent="0.2">
      <c r="A24" s="5" t="s">
        <v>149</v>
      </c>
      <c r="B24" s="33">
        <f t="shared" ref="B24:AA24" si="7">B21-B23</f>
        <v>17144</v>
      </c>
      <c r="C24" s="33">
        <f t="shared" si="7"/>
        <v>16445</v>
      </c>
      <c r="D24" s="33">
        <f t="shared" si="7"/>
        <v>16650</v>
      </c>
      <c r="E24" s="33">
        <f t="shared" si="7"/>
        <v>16831</v>
      </c>
      <c r="F24" s="33">
        <f t="shared" si="7"/>
        <v>18270</v>
      </c>
      <c r="G24" s="33">
        <f t="shared" si="7"/>
        <v>19448.880000000005</v>
      </c>
      <c r="H24" s="33">
        <f t="shared" si="7"/>
        <v>20421.324000000001</v>
      </c>
      <c r="I24" s="33">
        <f t="shared" si="7"/>
        <v>21340.283580000003</v>
      </c>
      <c r="J24" s="33">
        <f t="shared" si="7"/>
        <v>22193.894923200001</v>
      </c>
      <c r="K24" s="33">
        <f t="shared" si="7"/>
        <v>22970.681245512002</v>
      </c>
      <c r="L24" s="33">
        <f t="shared" si="7"/>
        <v>23659.801682877362</v>
      </c>
      <c r="M24" s="33">
        <f t="shared" si="7"/>
        <v>24369.595733363683</v>
      </c>
      <c r="N24" s="33">
        <f t="shared" si="7"/>
        <v>19332.676000000007</v>
      </c>
      <c r="O24" s="33">
        <f t="shared" si="7"/>
        <v>20735.294976000005</v>
      </c>
      <c r="P24" s="33">
        <f t="shared" si="7"/>
        <v>22109.728243680009</v>
      </c>
      <c r="Q24" s="33">
        <f t="shared" si="7"/>
        <v>23354.652314822408</v>
      </c>
      <c r="R24" s="33">
        <f t="shared" si="7"/>
        <v>24436.642325911213</v>
      </c>
      <c r="S24" s="33">
        <f t="shared" si="7"/>
        <v>25414.108018947663</v>
      </c>
      <c r="T24" s="33">
        <f t="shared" si="7"/>
        <v>26430.672339705561</v>
      </c>
      <c r="U24" s="33">
        <f t="shared" si="7"/>
        <v>19338.792000000001</v>
      </c>
      <c r="V24" s="33">
        <f t="shared" si="7"/>
        <v>19658.193984000005</v>
      </c>
      <c r="W24" s="33">
        <f t="shared" si="7"/>
        <v>19784.208048</v>
      </c>
      <c r="X24" s="33">
        <f t="shared" si="7"/>
        <v>19648.742929200002</v>
      </c>
      <c r="Y24" s="33">
        <f t="shared" si="7"/>
        <v>19845.230358492001</v>
      </c>
      <c r="Z24" s="33">
        <f t="shared" si="7"/>
        <v>20242.13496566184</v>
      </c>
      <c r="AA24" s="33">
        <f t="shared" si="7"/>
        <v>20646.977664975078</v>
      </c>
    </row>
    <row r="25" spans="1:27" x14ac:dyDescent="0.2">
      <c r="A25" s="10" t="s">
        <v>119</v>
      </c>
      <c r="B25" s="25">
        <v>19749</v>
      </c>
      <c r="C25" s="25">
        <v>22602</v>
      </c>
      <c r="D25" s="25">
        <v>18082</v>
      </c>
      <c r="E25" s="25">
        <v>16625</v>
      </c>
      <c r="F25" s="25">
        <v>20913</v>
      </c>
      <c r="G25" s="33">
        <f t="shared" ref="G25:AA25" si="8">G21*G7</f>
        <v>22042.064000000002</v>
      </c>
      <c r="H25" s="33">
        <f t="shared" si="8"/>
        <v>23484.5226</v>
      </c>
      <c r="I25" s="33">
        <f t="shared" si="8"/>
        <v>24754.728952799996</v>
      </c>
      <c r="J25" s="33">
        <f t="shared" si="8"/>
        <v>25892.877410399997</v>
      </c>
      <c r="K25" s="33">
        <f t="shared" si="8"/>
        <v>26799.128119763995</v>
      </c>
      <c r="L25" s="33">
        <f t="shared" si="8"/>
        <v>27603.101963356912</v>
      </c>
      <c r="M25" s="33">
        <f t="shared" si="8"/>
        <v>28431.195022257623</v>
      </c>
      <c r="N25" s="33">
        <f t="shared" si="8"/>
        <v>23665.862000000001</v>
      </c>
      <c r="O25" s="33">
        <f t="shared" si="8"/>
        <v>25919.118720000002</v>
      </c>
      <c r="P25" s="33">
        <f t="shared" si="8"/>
        <v>28118.643933600004</v>
      </c>
      <c r="Q25" s="33">
        <f t="shared" si="8"/>
        <v>30050.74144005121</v>
      </c>
      <c r="R25" s="33">
        <f t="shared" si="8"/>
        <v>31724.763721358413</v>
      </c>
      <c r="S25" s="33">
        <f t="shared" si="8"/>
        <v>32993.754270212747</v>
      </c>
      <c r="T25" s="33">
        <f t="shared" si="8"/>
        <v>34313.504441021258</v>
      </c>
      <c r="U25" s="33">
        <f t="shared" si="8"/>
        <v>19962.624000000003</v>
      </c>
      <c r="V25" s="33">
        <f t="shared" si="8"/>
        <v>20036.236176000002</v>
      </c>
      <c r="W25" s="33">
        <f t="shared" si="8"/>
        <v>19847.215080000002</v>
      </c>
      <c r="X25" s="33">
        <f t="shared" si="8"/>
        <v>19648.742929200002</v>
      </c>
      <c r="Y25" s="33">
        <f t="shared" si="8"/>
        <v>19845.230358492005</v>
      </c>
      <c r="Z25" s="33">
        <f t="shared" si="8"/>
        <v>20242.134965661844</v>
      </c>
      <c r="AA25" s="33">
        <f t="shared" si="8"/>
        <v>20646.977664975082</v>
      </c>
    </row>
    <row r="26" spans="1:27" x14ac:dyDescent="0.2">
      <c r="A26" s="5" t="s">
        <v>150</v>
      </c>
      <c r="B26" s="33">
        <f t="shared" ref="B26:AA26" si="9">B23-B25</f>
        <v>19304</v>
      </c>
      <c r="C26" s="33">
        <f t="shared" si="9"/>
        <v>19007</v>
      </c>
      <c r="D26" s="33">
        <f t="shared" si="9"/>
        <v>19586</v>
      </c>
      <c r="E26" s="33">
        <f t="shared" si="9"/>
        <v>22878</v>
      </c>
      <c r="F26" s="33">
        <f t="shared" si="9"/>
        <v>21977</v>
      </c>
      <c r="G26" s="33">
        <f t="shared" si="9"/>
        <v>23338.655999999999</v>
      </c>
      <c r="H26" s="33">
        <f t="shared" si="9"/>
        <v>24165.233400000001</v>
      </c>
      <c r="I26" s="33">
        <f t="shared" si="9"/>
        <v>25039.266067199991</v>
      </c>
      <c r="J26" s="33">
        <f t="shared" si="9"/>
        <v>25892.877410399997</v>
      </c>
      <c r="K26" s="33">
        <f t="shared" si="9"/>
        <v>26799.128119763995</v>
      </c>
      <c r="L26" s="33">
        <f t="shared" si="9"/>
        <v>27603.101963356912</v>
      </c>
      <c r="M26" s="33">
        <f t="shared" si="9"/>
        <v>28431.195022257623</v>
      </c>
      <c r="N26" s="33">
        <f t="shared" si="9"/>
        <v>23665.862000000001</v>
      </c>
      <c r="O26" s="33">
        <f t="shared" si="9"/>
        <v>25343.138304000004</v>
      </c>
      <c r="P26" s="33">
        <f t="shared" si="9"/>
        <v>26809.008462720005</v>
      </c>
      <c r="Q26" s="33">
        <f t="shared" si="9"/>
        <v>28254.229723526409</v>
      </c>
      <c r="R26" s="33">
        <f t="shared" si="9"/>
        <v>29581.198605050409</v>
      </c>
      <c r="S26" s="33">
        <f t="shared" si="9"/>
        <v>30764.446549252425</v>
      </c>
      <c r="T26" s="33">
        <f t="shared" si="9"/>
        <v>31995.024411222534</v>
      </c>
      <c r="U26" s="33">
        <f t="shared" si="9"/>
        <v>23081.784</v>
      </c>
      <c r="V26" s="33">
        <f t="shared" si="9"/>
        <v>23312.601839999999</v>
      </c>
      <c r="W26" s="33">
        <f t="shared" si="9"/>
        <v>23375.608872000004</v>
      </c>
      <c r="X26" s="33">
        <f t="shared" si="9"/>
        <v>23079.475821600005</v>
      </c>
      <c r="Y26" s="33">
        <f t="shared" si="9"/>
        <v>23310.270579816006</v>
      </c>
      <c r="Z26" s="33">
        <f t="shared" si="9"/>
        <v>23776.475991412331</v>
      </c>
      <c r="AA26" s="33">
        <f t="shared" si="9"/>
        <v>24252.005511240579</v>
      </c>
    </row>
    <row r="27" spans="1:27" x14ac:dyDescent="0.2">
      <c r="A27" s="3" t="s">
        <v>151</v>
      </c>
      <c r="B27" s="34">
        <f t="shared" ref="B27:AA27" si="10">B25/B21</f>
        <v>0.35142445326262967</v>
      </c>
      <c r="C27" s="34">
        <f t="shared" si="10"/>
        <v>0.38932717814448614</v>
      </c>
      <c r="D27" s="34">
        <f t="shared" si="10"/>
        <v>0.33289149085017855</v>
      </c>
      <c r="E27" s="34">
        <f t="shared" si="10"/>
        <v>0.29511485071182592</v>
      </c>
      <c r="F27" s="34">
        <f t="shared" si="10"/>
        <v>0.3419391759319817</v>
      </c>
      <c r="G27" s="34">
        <f t="shared" si="10"/>
        <v>0.34</v>
      </c>
      <c r="H27" s="34">
        <f t="shared" si="10"/>
        <v>0.34499999999999997</v>
      </c>
      <c r="I27" s="34">
        <f t="shared" si="10"/>
        <v>0.34799999999999998</v>
      </c>
      <c r="J27" s="34">
        <f t="shared" si="10"/>
        <v>0.35</v>
      </c>
      <c r="K27" s="34">
        <f t="shared" si="10"/>
        <v>0.35</v>
      </c>
      <c r="L27" s="34">
        <f t="shared" si="10"/>
        <v>0.35</v>
      </c>
      <c r="M27" s="34">
        <f t="shared" si="10"/>
        <v>0.35</v>
      </c>
      <c r="N27" s="34">
        <f t="shared" si="10"/>
        <v>0.35499999999999998</v>
      </c>
      <c r="O27" s="34">
        <f t="shared" si="10"/>
        <v>0.36</v>
      </c>
      <c r="P27" s="34">
        <f t="shared" si="10"/>
        <v>0.36499999999999999</v>
      </c>
      <c r="Q27" s="34">
        <f t="shared" si="10"/>
        <v>0.36799999999999999</v>
      </c>
      <c r="R27" s="34">
        <f t="shared" si="10"/>
        <v>0.37</v>
      </c>
      <c r="S27" s="34">
        <f t="shared" si="10"/>
        <v>0.37</v>
      </c>
      <c r="T27" s="34">
        <f t="shared" si="10"/>
        <v>0.37</v>
      </c>
      <c r="U27" s="34">
        <f t="shared" si="10"/>
        <v>0.32</v>
      </c>
      <c r="V27" s="34">
        <f t="shared" si="10"/>
        <v>0.318</v>
      </c>
      <c r="W27" s="34">
        <f t="shared" si="10"/>
        <v>0.315</v>
      </c>
      <c r="X27" s="34">
        <f t="shared" si="10"/>
        <v>0.315</v>
      </c>
      <c r="Y27" s="34">
        <f t="shared" si="10"/>
        <v>0.315</v>
      </c>
      <c r="Z27" s="34">
        <f t="shared" si="10"/>
        <v>0.315</v>
      </c>
      <c r="AA27" s="34">
        <f t="shared" si="10"/>
        <v>0.315</v>
      </c>
    </row>
    <row r="28" spans="1:27" x14ac:dyDescent="0.2">
      <c r="A28" s="3" t="s">
        <v>152</v>
      </c>
      <c r="B28" s="35">
        <v>77575</v>
      </c>
      <c r="C28" s="35">
        <v>64191</v>
      </c>
      <c r="D28" s="35">
        <v>60120</v>
      </c>
      <c r="E28" s="35">
        <v>67841</v>
      </c>
      <c r="F28" s="35">
        <v>68379</v>
      </c>
      <c r="G28" s="35">
        <v>66379</v>
      </c>
      <c r="H28" s="35">
        <v>64379</v>
      </c>
      <c r="I28" s="35">
        <v>62379</v>
      </c>
      <c r="J28" s="35">
        <v>60379</v>
      </c>
      <c r="K28" s="35">
        <v>58379</v>
      </c>
      <c r="L28" s="35">
        <v>56379</v>
      </c>
      <c r="M28" s="35">
        <v>54379</v>
      </c>
      <c r="N28" s="35">
        <v>66379</v>
      </c>
      <c r="O28" s="35">
        <v>64379</v>
      </c>
      <c r="P28" s="35">
        <v>62379</v>
      </c>
      <c r="Q28" s="35">
        <v>60379</v>
      </c>
      <c r="R28" s="35">
        <v>58379</v>
      </c>
      <c r="S28" s="35">
        <v>56379</v>
      </c>
      <c r="T28" s="35">
        <v>54379</v>
      </c>
      <c r="U28" s="35">
        <v>66379</v>
      </c>
      <c r="V28" s="35">
        <v>64379</v>
      </c>
      <c r="W28" s="35">
        <v>62379</v>
      </c>
      <c r="X28" s="35">
        <v>60379</v>
      </c>
      <c r="Y28" s="35">
        <v>58379</v>
      </c>
      <c r="Z28" s="35">
        <v>56379</v>
      </c>
      <c r="AA28" s="35">
        <v>54379</v>
      </c>
    </row>
    <row r="29" spans="1:27" x14ac:dyDescent="0.2">
      <c r="A29" s="5" t="s">
        <v>153</v>
      </c>
      <c r="B29" s="25">
        <v>2449</v>
      </c>
      <c r="C29" s="25">
        <v>2346</v>
      </c>
      <c r="D29" s="25">
        <v>2360</v>
      </c>
      <c r="E29" s="25">
        <v>2954</v>
      </c>
      <c r="F29" s="25">
        <v>3059</v>
      </c>
      <c r="G29" s="33">
        <f t="shared" ref="G29:M29" si="11">G10*(G28+F28)/2</f>
        <v>3032.0549999999998</v>
      </c>
      <c r="H29" s="33">
        <f t="shared" si="11"/>
        <v>2942.0549999999998</v>
      </c>
      <c r="I29" s="33">
        <f t="shared" si="11"/>
        <v>2852.0549999999998</v>
      </c>
      <c r="J29" s="33">
        <f t="shared" si="11"/>
        <v>2762.0549999999998</v>
      </c>
      <c r="K29" s="33">
        <f t="shared" si="11"/>
        <v>2672.0549999999998</v>
      </c>
      <c r="L29" s="33">
        <f t="shared" si="11"/>
        <v>2582.0549999999998</v>
      </c>
      <c r="M29" s="33">
        <f t="shared" si="11"/>
        <v>2492.0549999999998</v>
      </c>
      <c r="N29" s="33">
        <f>N10*(N28+F28)/2</f>
        <v>3032.0549999999998</v>
      </c>
      <c r="O29" s="33">
        <f t="shared" ref="O29:T29" si="12">O10*(O28+N28)/2</f>
        <v>2942.0549999999998</v>
      </c>
      <c r="P29" s="33">
        <f t="shared" si="12"/>
        <v>2852.0549999999998</v>
      </c>
      <c r="Q29" s="33">
        <f t="shared" si="12"/>
        <v>2762.0549999999998</v>
      </c>
      <c r="R29" s="33">
        <f t="shared" si="12"/>
        <v>2672.0549999999998</v>
      </c>
      <c r="S29" s="33">
        <f t="shared" si="12"/>
        <v>2582.0549999999998</v>
      </c>
      <c r="T29" s="33">
        <f t="shared" si="12"/>
        <v>2492.0549999999998</v>
      </c>
      <c r="U29" s="33">
        <f>U10*(U28+F28)/2</f>
        <v>3032.0549999999998</v>
      </c>
      <c r="V29" s="33">
        <f t="shared" ref="V29:AA29" si="13">V10*(V28+U28)/2</f>
        <v>2942.0549999999998</v>
      </c>
      <c r="W29" s="33">
        <f t="shared" si="13"/>
        <v>2852.0549999999998</v>
      </c>
      <c r="X29" s="33">
        <f t="shared" si="13"/>
        <v>2762.0549999999998</v>
      </c>
      <c r="Y29" s="33">
        <f t="shared" si="13"/>
        <v>2672.0549999999998</v>
      </c>
      <c r="Z29" s="33">
        <f t="shared" si="13"/>
        <v>2582.0549999999998</v>
      </c>
      <c r="AA29" s="33">
        <f t="shared" si="13"/>
        <v>2492.0549999999998</v>
      </c>
    </row>
    <row r="30" spans="1:27" x14ac:dyDescent="0.2">
      <c r="A30" s="10" t="s">
        <v>154</v>
      </c>
      <c r="B30" s="33">
        <f t="shared" ref="B30:AA30" si="14">B25-B29</f>
        <v>17300</v>
      </c>
      <c r="C30" s="33">
        <f t="shared" si="14"/>
        <v>20256</v>
      </c>
      <c r="D30" s="33">
        <f t="shared" si="14"/>
        <v>15722</v>
      </c>
      <c r="E30" s="33">
        <f t="shared" si="14"/>
        <v>13671</v>
      </c>
      <c r="F30" s="33">
        <f t="shared" si="14"/>
        <v>17854</v>
      </c>
      <c r="G30" s="33">
        <f t="shared" si="14"/>
        <v>19010.009000000002</v>
      </c>
      <c r="H30" s="33">
        <f t="shared" si="14"/>
        <v>20542.4676</v>
      </c>
      <c r="I30" s="33">
        <f t="shared" si="14"/>
        <v>21902.673952799996</v>
      </c>
      <c r="J30" s="33">
        <f t="shared" si="14"/>
        <v>23130.822410399996</v>
      </c>
      <c r="K30" s="33">
        <f t="shared" si="14"/>
        <v>24127.073119763994</v>
      </c>
      <c r="L30" s="33">
        <f t="shared" si="14"/>
        <v>25021.046963356912</v>
      </c>
      <c r="M30" s="33">
        <f t="shared" si="14"/>
        <v>25939.140022257623</v>
      </c>
      <c r="N30" s="33">
        <f t="shared" si="14"/>
        <v>20633.807000000001</v>
      </c>
      <c r="O30" s="33">
        <f t="shared" si="14"/>
        <v>22977.063720000002</v>
      </c>
      <c r="P30" s="33">
        <f t="shared" si="14"/>
        <v>25266.588933600004</v>
      </c>
      <c r="Q30" s="33">
        <f t="shared" si="14"/>
        <v>27288.68644005121</v>
      </c>
      <c r="R30" s="33">
        <f t="shared" si="14"/>
        <v>29052.708721358413</v>
      </c>
      <c r="S30" s="33">
        <f t="shared" si="14"/>
        <v>30411.699270212746</v>
      </c>
      <c r="T30" s="33">
        <f t="shared" si="14"/>
        <v>31821.449441021257</v>
      </c>
      <c r="U30" s="33">
        <f t="shared" si="14"/>
        <v>16930.569000000003</v>
      </c>
      <c r="V30" s="33">
        <f t="shared" si="14"/>
        <v>17094.181176000002</v>
      </c>
      <c r="W30" s="33">
        <f t="shared" si="14"/>
        <v>16995.160080000001</v>
      </c>
      <c r="X30" s="33">
        <f t="shared" si="14"/>
        <v>16886.687929200001</v>
      </c>
      <c r="Y30" s="33">
        <f t="shared" si="14"/>
        <v>17173.175358492004</v>
      </c>
      <c r="Z30" s="33">
        <f t="shared" si="14"/>
        <v>17660.079965661844</v>
      </c>
      <c r="AA30" s="33">
        <f t="shared" si="14"/>
        <v>18154.922664975082</v>
      </c>
    </row>
    <row r="31" spans="1:27" x14ac:dyDescent="0.2">
      <c r="A31" s="5" t="s">
        <v>155</v>
      </c>
      <c r="B31" s="25">
        <v>5832</v>
      </c>
      <c r="C31" s="25">
        <v>8474</v>
      </c>
      <c r="D31" s="25">
        <v>10902</v>
      </c>
      <c r="E31" s="25">
        <v>9433</v>
      </c>
      <c r="F31" s="25">
        <v>13668</v>
      </c>
      <c r="G31" s="33">
        <f t="shared" ref="G31:AA31" si="15">G30*G9</f>
        <v>2851.50135</v>
      </c>
      <c r="H31" s="33">
        <f t="shared" si="15"/>
        <v>3081.37014</v>
      </c>
      <c r="I31" s="33">
        <f t="shared" si="15"/>
        <v>3285.4010929199994</v>
      </c>
      <c r="J31" s="33">
        <f t="shared" si="15"/>
        <v>3469.6233615599995</v>
      </c>
      <c r="K31" s="33">
        <f t="shared" si="15"/>
        <v>3619.0609679645991</v>
      </c>
      <c r="L31" s="33">
        <f t="shared" si="15"/>
        <v>3753.1570445035368</v>
      </c>
      <c r="M31" s="33">
        <f t="shared" si="15"/>
        <v>3890.8710033386433</v>
      </c>
      <c r="N31" s="33">
        <f t="shared" si="15"/>
        <v>3095.07105</v>
      </c>
      <c r="O31" s="33">
        <f t="shared" si="15"/>
        <v>3446.5595580000004</v>
      </c>
      <c r="P31" s="33">
        <f t="shared" si="15"/>
        <v>3789.9883400400004</v>
      </c>
      <c r="Q31" s="33">
        <f t="shared" si="15"/>
        <v>4093.3029660076813</v>
      </c>
      <c r="R31" s="33">
        <f t="shared" si="15"/>
        <v>4357.9063082037619</v>
      </c>
      <c r="S31" s="33">
        <f t="shared" si="15"/>
        <v>4561.7548905319118</v>
      </c>
      <c r="T31" s="33">
        <f t="shared" si="15"/>
        <v>4773.2174161531884</v>
      </c>
      <c r="U31" s="33">
        <f t="shared" si="15"/>
        <v>2539.5853500000003</v>
      </c>
      <c r="V31" s="33">
        <f t="shared" si="15"/>
        <v>2564.1271764000003</v>
      </c>
      <c r="W31" s="33">
        <f t="shared" si="15"/>
        <v>2549.2740120000003</v>
      </c>
      <c r="X31" s="33">
        <f t="shared" si="15"/>
        <v>2533.0031893800001</v>
      </c>
      <c r="Y31" s="33">
        <f t="shared" si="15"/>
        <v>2575.9763037738007</v>
      </c>
      <c r="Z31" s="33">
        <f t="shared" si="15"/>
        <v>2649.0119948492766</v>
      </c>
      <c r="AA31" s="33">
        <f t="shared" si="15"/>
        <v>2723.2383997462621</v>
      </c>
    </row>
    <row r="32" spans="1:27" x14ac:dyDescent="0.2">
      <c r="A32" s="10" t="s">
        <v>120</v>
      </c>
      <c r="B32" s="25">
        <v>11468</v>
      </c>
      <c r="C32" s="25">
        <v>11782</v>
      </c>
      <c r="D32" s="25">
        <v>4820</v>
      </c>
      <c r="E32" s="25">
        <v>4238</v>
      </c>
      <c r="F32" s="25">
        <v>4186</v>
      </c>
      <c r="G32" s="33">
        <f t="shared" ref="G32:AA32" si="16">G30-G31</f>
        <v>16158.507650000001</v>
      </c>
      <c r="H32" s="33">
        <f t="shared" si="16"/>
        <v>17461.097460000001</v>
      </c>
      <c r="I32" s="33">
        <f t="shared" si="16"/>
        <v>18617.272859879995</v>
      </c>
      <c r="J32" s="33">
        <f t="shared" si="16"/>
        <v>19661.199048839997</v>
      </c>
      <c r="K32" s="33">
        <f t="shared" si="16"/>
        <v>20508.012151799394</v>
      </c>
      <c r="L32" s="33">
        <f t="shared" si="16"/>
        <v>21267.889918853376</v>
      </c>
      <c r="M32" s="33">
        <f t="shared" si="16"/>
        <v>22048.269018918982</v>
      </c>
      <c r="N32" s="33">
        <f t="shared" si="16"/>
        <v>17538.735950000002</v>
      </c>
      <c r="O32" s="33">
        <f t="shared" si="16"/>
        <v>19530.504162000001</v>
      </c>
      <c r="P32" s="33">
        <f t="shared" si="16"/>
        <v>21476.600593560004</v>
      </c>
      <c r="Q32" s="33">
        <f t="shared" si="16"/>
        <v>23195.383474043527</v>
      </c>
      <c r="R32" s="33">
        <f t="shared" si="16"/>
        <v>24694.802413154652</v>
      </c>
      <c r="S32" s="33">
        <f t="shared" si="16"/>
        <v>25849.944379680834</v>
      </c>
      <c r="T32" s="33">
        <f t="shared" si="16"/>
        <v>27048.23202486807</v>
      </c>
      <c r="U32" s="33">
        <f t="shared" si="16"/>
        <v>14390.983650000002</v>
      </c>
      <c r="V32" s="33">
        <f t="shared" si="16"/>
        <v>14530.053999600001</v>
      </c>
      <c r="W32" s="33">
        <f t="shared" si="16"/>
        <v>14445.886068000002</v>
      </c>
      <c r="X32" s="33">
        <f t="shared" si="16"/>
        <v>14353.684739820001</v>
      </c>
      <c r="Y32" s="33">
        <f t="shared" si="16"/>
        <v>14597.199054718203</v>
      </c>
      <c r="Z32" s="33">
        <f t="shared" si="16"/>
        <v>15011.067970812568</v>
      </c>
      <c r="AA32" s="33">
        <f t="shared" si="16"/>
        <v>15431.68426522882</v>
      </c>
    </row>
    <row r="33" spans="1:27" x14ac:dyDescent="0.2">
      <c r="A33" s="3" t="s">
        <v>156</v>
      </c>
      <c r="B33" s="35">
        <f>B25*(1-0.15)</f>
        <v>16786.649999999998</v>
      </c>
      <c r="C33" s="35">
        <f>C25*(1-0.15)</f>
        <v>19211.7</v>
      </c>
      <c r="D33" s="35">
        <f>D25*(1-0.15)</f>
        <v>15369.699999999999</v>
      </c>
      <c r="E33" s="35">
        <f>E25*(1-0.15)</f>
        <v>14131.25</v>
      </c>
      <c r="F33" s="35">
        <f>F25*(1-0.15)</f>
        <v>17776.05</v>
      </c>
      <c r="G33" s="35">
        <f t="shared" ref="G33:AA33" si="17">G25*(1-G9)</f>
        <v>18735.754400000002</v>
      </c>
      <c r="H33" s="35">
        <f t="shared" si="17"/>
        <v>19961.844209999999</v>
      </c>
      <c r="I33" s="35">
        <f t="shared" si="17"/>
        <v>21041.519609879997</v>
      </c>
      <c r="J33" s="35">
        <f t="shared" si="17"/>
        <v>22008.945798839995</v>
      </c>
      <c r="K33" s="35">
        <f t="shared" si="17"/>
        <v>22779.258901799396</v>
      </c>
      <c r="L33" s="35">
        <f t="shared" si="17"/>
        <v>23462.636668853374</v>
      </c>
      <c r="M33" s="35">
        <f t="shared" si="17"/>
        <v>24166.51576891898</v>
      </c>
      <c r="N33" s="35">
        <f t="shared" si="17"/>
        <v>20115.9827</v>
      </c>
      <c r="O33" s="35">
        <f t="shared" si="17"/>
        <v>22031.250912</v>
      </c>
      <c r="P33" s="35">
        <f t="shared" si="17"/>
        <v>23900.847343560003</v>
      </c>
      <c r="Q33" s="35">
        <f t="shared" si="17"/>
        <v>25543.130224043529</v>
      </c>
      <c r="R33" s="35">
        <f t="shared" si="17"/>
        <v>26966.04916315465</v>
      </c>
      <c r="S33" s="35">
        <f t="shared" si="17"/>
        <v>28044.691129680832</v>
      </c>
      <c r="T33" s="35">
        <f t="shared" si="17"/>
        <v>29166.478774868068</v>
      </c>
      <c r="U33" s="35">
        <f t="shared" si="17"/>
        <v>16968.230400000004</v>
      </c>
      <c r="V33" s="35">
        <f t="shared" si="17"/>
        <v>17030.800749600003</v>
      </c>
      <c r="W33" s="35">
        <f t="shared" si="17"/>
        <v>16870.132818000002</v>
      </c>
      <c r="X33" s="35">
        <f t="shared" si="17"/>
        <v>16701.431489819999</v>
      </c>
      <c r="Y33" s="35">
        <f t="shared" si="17"/>
        <v>16868.445804718205</v>
      </c>
      <c r="Z33" s="35">
        <f t="shared" si="17"/>
        <v>17205.814720812567</v>
      </c>
      <c r="AA33" s="35">
        <f t="shared" si="17"/>
        <v>17549.93101522882</v>
      </c>
    </row>
    <row r="34" spans="1:27" x14ac:dyDescent="0.2">
      <c r="A34" s="5" t="s">
        <v>73</v>
      </c>
      <c r="B34" s="18">
        <v>1777</v>
      </c>
      <c r="C34" s="18">
        <v>1778</v>
      </c>
      <c r="D34" s="18">
        <v>1773</v>
      </c>
      <c r="E34" s="18">
        <v>1773</v>
      </c>
      <c r="F34" s="18">
        <v>1773</v>
      </c>
      <c r="G34" s="36">
        <f t="shared" ref="G34:M34" si="18">F34-G16/G17</f>
        <v>1764.304347826087</v>
      </c>
      <c r="H34" s="36">
        <f t="shared" si="18"/>
        <v>1756.1410825199646</v>
      </c>
      <c r="I34" s="36">
        <f t="shared" si="18"/>
        <v>1748.448774827657</v>
      </c>
      <c r="J34" s="36">
        <f t="shared" si="18"/>
        <v>1741.1760475549297</v>
      </c>
      <c r="K34" s="36">
        <f t="shared" si="18"/>
        <v>1734.2794958307918</v>
      </c>
      <c r="L34" s="36">
        <f t="shared" si="18"/>
        <v>1727.7221187816115</v>
      </c>
      <c r="M34" s="36">
        <f t="shared" si="18"/>
        <v>1721.4721187816115</v>
      </c>
      <c r="N34" s="36">
        <f>F34-N16/N17</f>
        <v>1764.304347826087</v>
      </c>
      <c r="O34" s="36">
        <f t="shared" ref="O34:T34" si="19">N34-O16/O17</f>
        <v>1756.1410825199646</v>
      </c>
      <c r="P34" s="36">
        <f t="shared" si="19"/>
        <v>1748.448774827657</v>
      </c>
      <c r="Q34" s="36">
        <f t="shared" si="19"/>
        <v>1741.1760475549297</v>
      </c>
      <c r="R34" s="36">
        <f t="shared" si="19"/>
        <v>1734.2794958307918</v>
      </c>
      <c r="S34" s="36">
        <f t="shared" si="19"/>
        <v>1727.7221187816115</v>
      </c>
      <c r="T34" s="36">
        <f t="shared" si="19"/>
        <v>1721.4721187816115</v>
      </c>
      <c r="U34" s="36">
        <f>F34-U16/U17</f>
        <v>1764.304347826087</v>
      </c>
      <c r="V34" s="36">
        <f t="shared" ref="V34:AA34" si="20">U34-V16/V17</f>
        <v>1756.1410825199646</v>
      </c>
      <c r="W34" s="36">
        <f t="shared" si="20"/>
        <v>1748.448774827657</v>
      </c>
      <c r="X34" s="36">
        <f t="shared" si="20"/>
        <v>1741.1760475549297</v>
      </c>
      <c r="Y34" s="36">
        <f t="shared" si="20"/>
        <v>1734.2794958307918</v>
      </c>
      <c r="Z34" s="36">
        <f t="shared" si="20"/>
        <v>1727.7221187816115</v>
      </c>
      <c r="AA34" s="36">
        <f t="shared" si="20"/>
        <v>1721.4721187816115</v>
      </c>
    </row>
    <row r="35" spans="1:27" x14ac:dyDescent="0.2">
      <c r="A35" s="10" t="s">
        <v>130</v>
      </c>
      <c r="B35" s="11">
        <f t="shared" ref="B35:AA35" si="21">B32/B34</f>
        <v>6.4535734383792906</v>
      </c>
      <c r="C35" s="11">
        <f t="shared" si="21"/>
        <v>6.6265466816647915</v>
      </c>
      <c r="D35" s="11">
        <f t="shared" si="21"/>
        <v>2.7185561195713479</v>
      </c>
      <c r="E35" s="11">
        <f t="shared" si="21"/>
        <v>2.3902989283699942</v>
      </c>
      <c r="F35" s="11">
        <f t="shared" si="21"/>
        <v>2.3609701071630007</v>
      </c>
      <c r="G35" s="11">
        <f t="shared" si="21"/>
        <v>9.1585715751989945</v>
      </c>
      <c r="H35" s="11">
        <f t="shared" si="21"/>
        <v>9.9428785271308033</v>
      </c>
      <c r="I35" s="11">
        <f t="shared" si="21"/>
        <v>10.647880068270849</v>
      </c>
      <c r="J35" s="11">
        <f t="shared" si="21"/>
        <v>11.29190760259395</v>
      </c>
      <c r="K35" s="11">
        <f t="shared" si="21"/>
        <v>11.82509059301033</v>
      </c>
      <c r="L35" s="11">
        <f t="shared" si="21"/>
        <v>12.30978621368318</v>
      </c>
      <c r="M35" s="11">
        <f t="shared" si="21"/>
        <v>12.807799079850248</v>
      </c>
      <c r="N35" s="11">
        <f t="shared" si="21"/>
        <v>9.9408789484708855</v>
      </c>
      <c r="O35" s="11">
        <f t="shared" si="21"/>
        <v>11.12126147289648</v>
      </c>
      <c r="P35" s="11">
        <f t="shared" si="21"/>
        <v>12.28323122916594</v>
      </c>
      <c r="Q35" s="11">
        <f t="shared" si="21"/>
        <v>13.321676177785676</v>
      </c>
      <c r="R35" s="11">
        <f t="shared" si="21"/>
        <v>14.239228724390134</v>
      </c>
      <c r="S35" s="11">
        <f t="shared" si="21"/>
        <v>14.961864583819878</v>
      </c>
      <c r="T35" s="11">
        <f t="shared" si="21"/>
        <v>15.712268429889946</v>
      </c>
      <c r="U35" s="11">
        <f t="shared" si="21"/>
        <v>8.1567466904063686</v>
      </c>
      <c r="V35" s="11">
        <f t="shared" si="21"/>
        <v>8.2738534757983011</v>
      </c>
      <c r="W35" s="11">
        <f t="shared" si="21"/>
        <v>8.2621156970549041</v>
      </c>
      <c r="X35" s="11">
        <f t="shared" si="21"/>
        <v>8.2436722926302366</v>
      </c>
      <c r="Y35" s="11">
        <f t="shared" si="21"/>
        <v>8.41686653726223</v>
      </c>
      <c r="Z35" s="11">
        <f t="shared" si="21"/>
        <v>8.6883578138123063</v>
      </c>
      <c r="AA35" s="11">
        <f t="shared" si="21"/>
        <v>8.9642371182582625</v>
      </c>
    </row>
    <row r="36" spans="1:27" x14ac:dyDescent="0.2">
      <c r="A36" s="5" t="s">
        <v>147</v>
      </c>
      <c r="B36" s="15">
        <v>5.2</v>
      </c>
      <c r="C36" s="15">
        <v>5.64</v>
      </c>
      <c r="D36" s="15">
        <v>5.92</v>
      </c>
      <c r="E36" s="15">
        <v>6.29</v>
      </c>
      <c r="F36" s="15">
        <v>6.65</v>
      </c>
      <c r="G36" s="11">
        <f t="shared" ref="G36:AA36" si="22">G18</f>
        <v>7.05</v>
      </c>
      <c r="H36" s="11">
        <f t="shared" si="22"/>
        <v>7.44</v>
      </c>
      <c r="I36" s="11">
        <f t="shared" si="22"/>
        <v>7.85</v>
      </c>
      <c r="J36" s="11">
        <f t="shared" si="22"/>
        <v>8.2799999999999994</v>
      </c>
      <c r="K36" s="11">
        <f t="shared" si="22"/>
        <v>8.73</v>
      </c>
      <c r="L36" s="11">
        <f t="shared" si="22"/>
        <v>9.2100000000000009</v>
      </c>
      <c r="M36" s="11">
        <f t="shared" si="22"/>
        <v>9.7200000000000006</v>
      </c>
      <c r="N36" s="11">
        <f t="shared" si="22"/>
        <v>7.05</v>
      </c>
      <c r="O36" s="11">
        <f t="shared" si="22"/>
        <v>7.44</v>
      </c>
      <c r="P36" s="11">
        <f t="shared" si="22"/>
        <v>7.85</v>
      </c>
      <c r="Q36" s="11">
        <f t="shared" si="22"/>
        <v>8.2799999999999994</v>
      </c>
      <c r="R36" s="11">
        <f t="shared" si="22"/>
        <v>8.73</v>
      </c>
      <c r="S36" s="11">
        <f t="shared" si="22"/>
        <v>9.2100000000000009</v>
      </c>
      <c r="T36" s="11">
        <f t="shared" si="22"/>
        <v>9.7200000000000006</v>
      </c>
      <c r="U36" s="11">
        <f t="shared" si="22"/>
        <v>7.05</v>
      </c>
      <c r="V36" s="11">
        <f t="shared" si="22"/>
        <v>7.44</v>
      </c>
      <c r="W36" s="11">
        <f t="shared" si="22"/>
        <v>7.85</v>
      </c>
      <c r="X36" s="11">
        <f t="shared" si="22"/>
        <v>8.2799999999999994</v>
      </c>
      <c r="Y36" s="11">
        <f t="shared" si="22"/>
        <v>8.73</v>
      </c>
      <c r="Z36" s="11">
        <f t="shared" si="22"/>
        <v>9.2100000000000009</v>
      </c>
      <c r="AA36" s="11">
        <f t="shared" si="22"/>
        <v>9.7200000000000006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A2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0" sqref="F20"/>
    </sheetView>
  </sheetViews>
  <sheetFormatPr baseColWidth="10" defaultColWidth="8.6640625" defaultRowHeight="15" x14ac:dyDescent="0.2"/>
  <cols>
    <col min="1" max="1" width="40" customWidth="1"/>
    <col min="2" max="27" width="12" customWidth="1"/>
  </cols>
  <sheetData>
    <row r="1" spans="1:27" ht="16" x14ac:dyDescent="0.2">
      <c r="A1" s="7" t="s">
        <v>157</v>
      </c>
    </row>
    <row r="2" spans="1:27" x14ac:dyDescent="0.2">
      <c r="A2" s="6" t="s">
        <v>158</v>
      </c>
    </row>
    <row r="3" spans="1:27" x14ac:dyDescent="0.2">
      <c r="G3" s="28" t="s">
        <v>134</v>
      </c>
      <c r="N3" s="29" t="s">
        <v>135</v>
      </c>
      <c r="U3" s="30" t="s">
        <v>136</v>
      </c>
    </row>
    <row r="4" spans="1:27" x14ac:dyDescent="0.2">
      <c r="A4" s="13" t="s">
        <v>59</v>
      </c>
      <c r="B4" s="14" t="s">
        <v>113</v>
      </c>
      <c r="C4" s="14" t="s">
        <v>114</v>
      </c>
      <c r="D4" s="14" t="s">
        <v>115</v>
      </c>
      <c r="E4" s="14" t="s">
        <v>60</v>
      </c>
      <c r="F4" s="14" t="s">
        <v>61</v>
      </c>
      <c r="G4" s="26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26" t="s">
        <v>67</v>
      </c>
      <c r="M4" s="26" t="s">
        <v>68</v>
      </c>
      <c r="N4" s="31" t="s">
        <v>62</v>
      </c>
      <c r="O4" s="31" t="s">
        <v>63</v>
      </c>
      <c r="P4" s="31" t="s">
        <v>64</v>
      </c>
      <c r="Q4" s="31" t="s">
        <v>65</v>
      </c>
      <c r="R4" s="31" t="s">
        <v>66</v>
      </c>
      <c r="S4" s="31" t="s">
        <v>67</v>
      </c>
      <c r="T4" s="31" t="s">
        <v>68</v>
      </c>
      <c r="U4" s="32" t="s">
        <v>62</v>
      </c>
      <c r="V4" s="32" t="s">
        <v>63</v>
      </c>
      <c r="W4" s="32" t="s">
        <v>64</v>
      </c>
      <c r="X4" s="32" t="s">
        <v>65</v>
      </c>
      <c r="Y4" s="32" t="s">
        <v>66</v>
      </c>
      <c r="Z4" s="32" t="s">
        <v>67</v>
      </c>
      <c r="AA4" s="32" t="s">
        <v>68</v>
      </c>
    </row>
    <row r="5" spans="1:27" x14ac:dyDescent="0.2">
      <c r="A5" s="4" t="s">
        <v>159</v>
      </c>
    </row>
    <row r="6" spans="1:27" x14ac:dyDescent="0.2">
      <c r="A6" s="5" t="s">
        <v>160</v>
      </c>
      <c r="B6" s="25">
        <v>9830</v>
      </c>
      <c r="C6" s="25">
        <v>9229</v>
      </c>
      <c r="D6" s="25">
        <v>12816</v>
      </c>
      <c r="E6" s="25">
        <v>5555</v>
      </c>
      <c r="F6" s="25">
        <v>5257</v>
      </c>
      <c r="G6" s="33">
        <f>F6</f>
        <v>5257</v>
      </c>
      <c r="H6" s="33">
        <f>F6</f>
        <v>5257</v>
      </c>
      <c r="I6" s="33">
        <f>F6</f>
        <v>5257</v>
      </c>
      <c r="J6" s="33">
        <f>F6</f>
        <v>5257</v>
      </c>
      <c r="K6" s="33">
        <f>F6</f>
        <v>5257</v>
      </c>
      <c r="L6" s="33">
        <f>F6</f>
        <v>5257</v>
      </c>
      <c r="M6" s="33">
        <f>F6</f>
        <v>5257</v>
      </c>
      <c r="N6" s="33">
        <f>F6</f>
        <v>5257</v>
      </c>
      <c r="O6" s="33">
        <f>F6</f>
        <v>5257</v>
      </c>
      <c r="P6" s="33">
        <f>F6</f>
        <v>5257</v>
      </c>
      <c r="Q6" s="33">
        <f>F6</f>
        <v>5257</v>
      </c>
      <c r="R6" s="33">
        <f>F6</f>
        <v>5257</v>
      </c>
      <c r="S6" s="33">
        <f>F6</f>
        <v>5257</v>
      </c>
      <c r="T6" s="33">
        <f>F6</f>
        <v>5257</v>
      </c>
      <c r="U6" s="33">
        <f>F6</f>
        <v>5257</v>
      </c>
      <c r="V6" s="33">
        <f>F6</f>
        <v>5257</v>
      </c>
      <c r="W6" s="33">
        <f>F6</f>
        <v>5257</v>
      </c>
      <c r="X6" s="33">
        <f>F6</f>
        <v>5257</v>
      </c>
      <c r="Y6" s="33">
        <f>F6</f>
        <v>5257</v>
      </c>
      <c r="Z6" s="33">
        <f>F6</f>
        <v>5257</v>
      </c>
      <c r="AA6" s="33">
        <f>F6</f>
        <v>5257</v>
      </c>
    </row>
    <row r="7" spans="1:27" x14ac:dyDescent="0.2">
      <c r="A7" s="5" t="s">
        <v>161</v>
      </c>
      <c r="B7" s="25">
        <v>15442.5979452055</v>
      </c>
      <c r="C7" s="25">
        <v>16893.242465753399</v>
      </c>
      <c r="D7" s="25">
        <v>17708.913698630098</v>
      </c>
      <c r="E7" s="25">
        <v>18079.269863013698</v>
      </c>
      <c r="F7" s="25">
        <v>19342.301369862998</v>
      </c>
      <c r="G7" s="33">
        <f>'Fin-Forecast'!G21*'Fin-Forecast'!G13</f>
        <v>20097.176000000003</v>
      </c>
      <c r="H7" s="33">
        <f>'Fin-Forecast'!H21*'Fin-Forecast'!H13</f>
        <v>21102.034800000001</v>
      </c>
      <c r="I7" s="33">
        <f>'Fin-Forecast'!I21*'Fin-Forecast'!I13</f>
        <v>22051.626365999997</v>
      </c>
      <c r="J7" s="33">
        <f>'Fin-Forecast'!J21*'Fin-Forecast'!J13</f>
        <v>22933.69142064</v>
      </c>
      <c r="K7" s="33">
        <f>'Fin-Forecast'!K21*'Fin-Forecast'!K13</f>
        <v>23736.370620362399</v>
      </c>
      <c r="L7" s="33">
        <f>'Fin-Forecast'!L21*'Fin-Forecast'!L13</f>
        <v>24448.461738973267</v>
      </c>
      <c r="M7" s="33">
        <f>'Fin-Forecast'!M21*'Fin-Forecast'!M13</f>
        <v>25181.915591142468</v>
      </c>
      <c r="N7" s="33">
        <f>'Fin-Forecast'!N21*'Fin-Forecast'!N13</f>
        <v>20665.964000000004</v>
      </c>
      <c r="O7" s="33">
        <f>'Fin-Forecast'!O21*'Fin-Forecast'!O13</f>
        <v>22319.241120000002</v>
      </c>
      <c r="P7" s="33">
        <f>'Fin-Forecast'!P21*'Fin-Forecast'!P13</f>
        <v>23881.587998400006</v>
      </c>
      <c r="Q7" s="33">
        <f>'Fin-Forecast'!Q21*'Fin-Forecast'!Q13</f>
        <v>25314.483278304007</v>
      </c>
      <c r="R7" s="33">
        <f>'Fin-Forecast'!R21*'Fin-Forecast'!R13</f>
        <v>26580.207442219209</v>
      </c>
      <c r="S7" s="33">
        <f>'Fin-Forecast'!S21*'Fin-Forecast'!S13</f>
        <v>27643.415739907978</v>
      </c>
      <c r="T7" s="33">
        <f>'Fin-Forecast'!T21*'Fin-Forecast'!T13</f>
        <v>28749.1523695043</v>
      </c>
      <c r="U7" s="33">
        <f>'Fin-Forecast'!U21*'Fin-Forecast'!U13</f>
        <v>19338.792000000001</v>
      </c>
      <c r="V7" s="33">
        <f>'Fin-Forecast'!V21*'Fin-Forecast'!V13</f>
        <v>19532.179920000002</v>
      </c>
      <c r="W7" s="33">
        <f>'Fin-Forecast'!W21*'Fin-Forecast'!W13</f>
        <v>19532.179920000002</v>
      </c>
      <c r="X7" s="33">
        <f>'Fin-Forecast'!X21*'Fin-Forecast'!X13</f>
        <v>19336.858120800003</v>
      </c>
      <c r="Y7" s="33">
        <f>'Fin-Forecast'!Y21*'Fin-Forecast'!Y13</f>
        <v>19530.226702008003</v>
      </c>
      <c r="Z7" s="33">
        <f>'Fin-Forecast'!Z21*'Fin-Forecast'!Z13</f>
        <v>19920.831236048165</v>
      </c>
      <c r="AA7" s="33">
        <f>'Fin-Forecast'!AA21*'Fin-Forecast'!AA13</f>
        <v>20319.24786076913</v>
      </c>
    </row>
    <row r="8" spans="1:27" x14ac:dyDescent="0.2">
      <c r="A8" s="5" t="s">
        <v>162</v>
      </c>
      <c r="B8" s="33">
        <f t="shared" ref="B8:AA8" si="0">B6+B7</f>
        <v>25272.5979452055</v>
      </c>
      <c r="C8" s="33">
        <f t="shared" si="0"/>
        <v>26122.242465753399</v>
      </c>
      <c r="D8" s="33">
        <f t="shared" si="0"/>
        <v>30524.913698630098</v>
      </c>
      <c r="E8" s="33">
        <f t="shared" si="0"/>
        <v>23634.269863013698</v>
      </c>
      <c r="F8" s="33">
        <f t="shared" si="0"/>
        <v>24599.301369862998</v>
      </c>
      <c r="G8" s="33">
        <f t="shared" si="0"/>
        <v>25354.176000000003</v>
      </c>
      <c r="H8" s="33">
        <f t="shared" si="0"/>
        <v>26359.034800000001</v>
      </c>
      <c r="I8" s="33">
        <f t="shared" si="0"/>
        <v>27308.626365999997</v>
      </c>
      <c r="J8" s="33">
        <f t="shared" si="0"/>
        <v>28190.69142064</v>
      </c>
      <c r="K8" s="33">
        <f t="shared" si="0"/>
        <v>28993.370620362399</v>
      </c>
      <c r="L8" s="33">
        <f t="shared" si="0"/>
        <v>29705.461738973267</v>
      </c>
      <c r="M8" s="33">
        <f t="shared" si="0"/>
        <v>30438.915591142468</v>
      </c>
      <c r="N8" s="33">
        <f t="shared" si="0"/>
        <v>25922.964000000004</v>
      </c>
      <c r="O8" s="33">
        <f t="shared" si="0"/>
        <v>27576.241120000002</v>
      </c>
      <c r="P8" s="33">
        <f t="shared" si="0"/>
        <v>29138.587998400006</v>
      </c>
      <c r="Q8" s="33">
        <f t="shared" si="0"/>
        <v>30571.483278304007</v>
      </c>
      <c r="R8" s="33">
        <f t="shared" si="0"/>
        <v>31837.207442219209</v>
      </c>
      <c r="S8" s="33">
        <f t="shared" si="0"/>
        <v>32900.415739907978</v>
      </c>
      <c r="T8" s="33">
        <f t="shared" si="0"/>
        <v>34006.1523695043</v>
      </c>
      <c r="U8" s="33">
        <f t="shared" si="0"/>
        <v>24595.792000000001</v>
      </c>
      <c r="V8" s="33">
        <f t="shared" si="0"/>
        <v>24789.179920000002</v>
      </c>
      <c r="W8" s="33">
        <f t="shared" si="0"/>
        <v>24789.179920000002</v>
      </c>
      <c r="X8" s="33">
        <f t="shared" si="0"/>
        <v>24593.858120800003</v>
      </c>
      <c r="Y8" s="33">
        <f t="shared" si="0"/>
        <v>24787.226702008003</v>
      </c>
      <c r="Z8" s="33">
        <f t="shared" si="0"/>
        <v>25177.831236048165</v>
      </c>
      <c r="AA8" s="33">
        <f t="shared" si="0"/>
        <v>25576.24786076913</v>
      </c>
    </row>
    <row r="9" spans="1:27" x14ac:dyDescent="0.2">
      <c r="A9" s="5" t="s">
        <v>163</v>
      </c>
      <c r="B9" s="25">
        <v>10583.3424657534</v>
      </c>
      <c r="C9" s="25">
        <v>10838.452054794499</v>
      </c>
      <c r="D9" s="25">
        <v>11193.150684931499</v>
      </c>
      <c r="E9" s="25">
        <v>11320.087671232901</v>
      </c>
      <c r="F9" s="25">
        <v>11153.452054794499</v>
      </c>
      <c r="G9" s="33">
        <f>'Fin-Forecast'!G21*'Fin-Forecast'!G14</f>
        <v>11798.987200000001</v>
      </c>
      <c r="H9" s="33">
        <f>'Fin-Forecast'!H21*'Fin-Forecast'!H14</f>
        <v>12388.93656</v>
      </c>
      <c r="I9" s="33">
        <f>'Fin-Forecast'!I21*'Fin-Forecast'!I14</f>
        <v>12946.438705199998</v>
      </c>
      <c r="J9" s="33">
        <f>'Fin-Forecast'!J21*'Fin-Forecast'!J14</f>
        <v>13464.296253407998</v>
      </c>
      <c r="K9" s="33">
        <f>'Fin-Forecast'!K21*'Fin-Forecast'!K14</f>
        <v>13935.546622277277</v>
      </c>
      <c r="L9" s="33">
        <f>'Fin-Forecast'!L21*'Fin-Forecast'!L14</f>
        <v>14353.613020945595</v>
      </c>
      <c r="M9" s="33">
        <f>'Fin-Forecast'!M21*'Fin-Forecast'!M14</f>
        <v>14784.221411573964</v>
      </c>
      <c r="N9" s="33">
        <f>'Fin-Forecast'!N21*'Fin-Forecast'!N14</f>
        <v>12132.920800000002</v>
      </c>
      <c r="O9" s="33">
        <f>'Fin-Forecast'!O21*'Fin-Forecast'!O14</f>
        <v>13103.554464000001</v>
      </c>
      <c r="P9" s="33">
        <f>'Fin-Forecast'!P21*'Fin-Forecast'!P14</f>
        <v>14020.803276480003</v>
      </c>
      <c r="Q9" s="33">
        <f>'Fin-Forecast'!Q21*'Fin-Forecast'!Q14</f>
        <v>14862.051473068805</v>
      </c>
      <c r="R9" s="33">
        <f>'Fin-Forecast'!R21*'Fin-Forecast'!R14</f>
        <v>15605.154046722246</v>
      </c>
      <c r="S9" s="33">
        <f>'Fin-Forecast'!S21*'Fin-Forecast'!S14</f>
        <v>16229.360208591135</v>
      </c>
      <c r="T9" s="33">
        <f>'Fin-Forecast'!T21*'Fin-Forecast'!T14</f>
        <v>16878.534616934783</v>
      </c>
      <c r="U9" s="33">
        <f>'Fin-Forecast'!U21*'Fin-Forecast'!U14</f>
        <v>11353.742400000001</v>
      </c>
      <c r="V9" s="33">
        <f>'Fin-Forecast'!V21*'Fin-Forecast'!V14</f>
        <v>11467.279824000001</v>
      </c>
      <c r="W9" s="33">
        <f>'Fin-Forecast'!W21*'Fin-Forecast'!W14</f>
        <v>11467.279824000001</v>
      </c>
      <c r="X9" s="33">
        <f>'Fin-Forecast'!X21*'Fin-Forecast'!X14</f>
        <v>11352.60702576</v>
      </c>
      <c r="Y9" s="33">
        <f>'Fin-Forecast'!Y21*'Fin-Forecast'!Y14</f>
        <v>11466.133096017602</v>
      </c>
      <c r="Z9" s="33">
        <f>'Fin-Forecast'!Z21*'Fin-Forecast'!Z14</f>
        <v>11695.455757937954</v>
      </c>
      <c r="AA9" s="33">
        <f>'Fin-Forecast'!AA21*'Fin-Forecast'!AA14</f>
        <v>11929.364873096714</v>
      </c>
    </row>
    <row r="10" spans="1:27" x14ac:dyDescent="0.2">
      <c r="A10" s="5" t="s">
        <v>164</v>
      </c>
      <c r="B10" s="33">
        <f t="shared" ref="B10:AA10" si="1">B8-B9</f>
        <v>14689.2554794521</v>
      </c>
      <c r="C10" s="33">
        <f t="shared" si="1"/>
        <v>15283.7904109589</v>
      </c>
      <c r="D10" s="33">
        <f t="shared" si="1"/>
        <v>19331.763013698597</v>
      </c>
      <c r="E10" s="33">
        <f t="shared" si="1"/>
        <v>12314.182191780797</v>
      </c>
      <c r="F10" s="33">
        <f t="shared" si="1"/>
        <v>13445.849315068499</v>
      </c>
      <c r="G10" s="33">
        <f t="shared" si="1"/>
        <v>13555.188800000002</v>
      </c>
      <c r="H10" s="33">
        <f t="shared" si="1"/>
        <v>13970.098240000001</v>
      </c>
      <c r="I10" s="33">
        <f t="shared" si="1"/>
        <v>14362.187660799998</v>
      </c>
      <c r="J10" s="33">
        <f t="shared" si="1"/>
        <v>14726.395167232002</v>
      </c>
      <c r="K10" s="33">
        <f t="shared" si="1"/>
        <v>15057.823998085121</v>
      </c>
      <c r="L10" s="33">
        <f t="shared" si="1"/>
        <v>15351.848718027672</v>
      </c>
      <c r="M10" s="33">
        <f t="shared" si="1"/>
        <v>15654.694179568503</v>
      </c>
      <c r="N10" s="33">
        <f t="shared" si="1"/>
        <v>13790.043200000002</v>
      </c>
      <c r="O10" s="33">
        <f t="shared" si="1"/>
        <v>14472.686656000002</v>
      </c>
      <c r="P10" s="33">
        <f t="shared" si="1"/>
        <v>15117.784721920003</v>
      </c>
      <c r="Q10" s="33">
        <f t="shared" si="1"/>
        <v>15709.431805235203</v>
      </c>
      <c r="R10" s="33">
        <f t="shared" si="1"/>
        <v>16232.053395496963</v>
      </c>
      <c r="S10" s="33">
        <f t="shared" si="1"/>
        <v>16671.055531316844</v>
      </c>
      <c r="T10" s="33">
        <f t="shared" si="1"/>
        <v>17127.617752569517</v>
      </c>
      <c r="U10" s="33">
        <f t="shared" si="1"/>
        <v>13242.0496</v>
      </c>
      <c r="V10" s="33">
        <f t="shared" si="1"/>
        <v>13321.900096000001</v>
      </c>
      <c r="W10" s="33">
        <f t="shared" si="1"/>
        <v>13321.900096000001</v>
      </c>
      <c r="X10" s="33">
        <f t="shared" si="1"/>
        <v>13241.251095040003</v>
      </c>
      <c r="Y10" s="33">
        <f t="shared" si="1"/>
        <v>13321.093605990402</v>
      </c>
      <c r="Z10" s="33">
        <f t="shared" si="1"/>
        <v>13482.375478110211</v>
      </c>
      <c r="AA10" s="33">
        <f t="shared" si="1"/>
        <v>13646.882987672416</v>
      </c>
    </row>
    <row r="11" spans="1:27" x14ac:dyDescent="0.2">
      <c r="A11" s="5" t="s">
        <v>165</v>
      </c>
      <c r="B11" s="33">
        <f t="shared" ref="B11:AA11" si="2">B10-B6</f>
        <v>4859.2554794521002</v>
      </c>
      <c r="C11" s="33">
        <f t="shared" si="2"/>
        <v>6054.7904109588999</v>
      </c>
      <c r="D11" s="33">
        <f t="shared" si="2"/>
        <v>6515.7630136985972</v>
      </c>
      <c r="E11" s="33">
        <f t="shared" si="2"/>
        <v>6759.1821917807974</v>
      </c>
      <c r="F11" s="33">
        <f t="shared" si="2"/>
        <v>8188.849315068499</v>
      </c>
      <c r="G11" s="33">
        <f t="shared" si="2"/>
        <v>8298.1888000000017</v>
      </c>
      <c r="H11" s="33">
        <f t="shared" si="2"/>
        <v>8713.0982400000012</v>
      </c>
      <c r="I11" s="33">
        <f t="shared" si="2"/>
        <v>9105.1876607999984</v>
      </c>
      <c r="J11" s="33">
        <f t="shared" si="2"/>
        <v>9469.3951672320018</v>
      </c>
      <c r="K11" s="33">
        <f t="shared" si="2"/>
        <v>9800.8239980851213</v>
      </c>
      <c r="L11" s="33">
        <f t="shared" si="2"/>
        <v>10094.848718027672</v>
      </c>
      <c r="M11" s="33">
        <f t="shared" si="2"/>
        <v>10397.694179568503</v>
      </c>
      <c r="N11" s="33">
        <f t="shared" si="2"/>
        <v>8533.0432000000019</v>
      </c>
      <c r="O11" s="33">
        <f t="shared" si="2"/>
        <v>9215.6866560000017</v>
      </c>
      <c r="P11" s="33">
        <f t="shared" si="2"/>
        <v>9860.784721920003</v>
      </c>
      <c r="Q11" s="33">
        <f t="shared" si="2"/>
        <v>10452.431805235203</v>
      </c>
      <c r="R11" s="33">
        <f t="shared" si="2"/>
        <v>10975.053395496963</v>
      </c>
      <c r="S11" s="33">
        <f t="shared" si="2"/>
        <v>11414.055531316844</v>
      </c>
      <c r="T11" s="33">
        <f t="shared" si="2"/>
        <v>11870.617752569517</v>
      </c>
      <c r="U11" s="33">
        <f t="shared" si="2"/>
        <v>7985.0496000000003</v>
      </c>
      <c r="V11" s="33">
        <f t="shared" si="2"/>
        <v>8064.9000960000012</v>
      </c>
      <c r="W11" s="33">
        <f t="shared" si="2"/>
        <v>8064.9000960000012</v>
      </c>
      <c r="X11" s="33">
        <f t="shared" si="2"/>
        <v>7984.2510950400028</v>
      </c>
      <c r="Y11" s="33">
        <f t="shared" si="2"/>
        <v>8064.0936059904016</v>
      </c>
      <c r="Z11" s="33">
        <f t="shared" si="2"/>
        <v>8225.3754781102107</v>
      </c>
      <c r="AA11" s="33">
        <f t="shared" si="2"/>
        <v>8389.8829876724158</v>
      </c>
    </row>
    <row r="12" spans="1:27" x14ac:dyDescent="0.2">
      <c r="A12" s="5" t="s">
        <v>166</v>
      </c>
      <c r="B12" s="25">
        <v>124066.252054795</v>
      </c>
      <c r="C12" s="25">
        <v>115585.45753424701</v>
      </c>
      <c r="D12" s="25">
        <v>106901.98630136999</v>
      </c>
      <c r="E12" s="25">
        <v>114343.430136986</v>
      </c>
      <c r="F12" s="25">
        <v>112418.69863013701</v>
      </c>
      <c r="G12" s="33">
        <f>'Fin-Forecast'!G21/'Fin-Forecast'!G15</f>
        <v>120054.81481481482</v>
      </c>
      <c r="H12" s="33">
        <f>'Fin-Forecast'!H21/'Fin-Forecast'!H15</f>
        <v>126057.55555555555</v>
      </c>
      <c r="I12" s="33">
        <f>'Fin-Forecast'!I21/'Fin-Forecast'!I15</f>
        <v>131730.14555555553</v>
      </c>
      <c r="J12" s="33">
        <f>'Fin-Forecast'!J21/'Fin-Forecast'!J15</f>
        <v>136999.35137777776</v>
      </c>
      <c r="K12" s="33">
        <f>'Fin-Forecast'!K21/'Fin-Forecast'!K15</f>
        <v>141794.32867599998</v>
      </c>
      <c r="L12" s="33">
        <f>'Fin-Forecast'!L21/'Fin-Forecast'!L15</f>
        <v>146048.15853627995</v>
      </c>
      <c r="M12" s="33">
        <f>'Fin-Forecast'!M21/'Fin-Forecast'!M15</f>
        <v>150429.60329236838</v>
      </c>
      <c r="N12" s="33">
        <f>'Fin-Forecast'!N21/'Fin-Forecast'!N15</f>
        <v>123452.5925925926</v>
      </c>
      <c r="O12" s="33">
        <f>'Fin-Forecast'!O21/'Fin-Forecast'!O15</f>
        <v>133328.80000000002</v>
      </c>
      <c r="P12" s="33">
        <f>'Fin-Forecast'!P21/'Fin-Forecast'!P15</f>
        <v>142661.81600000002</v>
      </c>
      <c r="Q12" s="33">
        <f>'Fin-Forecast'!Q21/'Fin-Forecast'!Q15</f>
        <v>151221.52496000004</v>
      </c>
      <c r="R12" s="33">
        <f>'Fin-Forecast'!R21/'Fin-Forecast'!R15</f>
        <v>158782.60120800007</v>
      </c>
      <c r="S12" s="33">
        <f>'Fin-Forecast'!S21/'Fin-Forecast'!S15</f>
        <v>165133.90525632005</v>
      </c>
      <c r="T12" s="33">
        <f>'Fin-Forecast'!T21/'Fin-Forecast'!T15</f>
        <v>171739.26146657288</v>
      </c>
      <c r="U12" s="33">
        <f>'Fin-Forecast'!U21/'Fin-Forecast'!U15</f>
        <v>115524.44444444444</v>
      </c>
      <c r="V12" s="33">
        <f>'Fin-Forecast'!V21/'Fin-Forecast'!V15</f>
        <v>116679.68888888889</v>
      </c>
      <c r="W12" s="33">
        <f>'Fin-Forecast'!W21/'Fin-Forecast'!W15</f>
        <v>116679.68888888889</v>
      </c>
      <c r="X12" s="33">
        <f>'Fin-Forecast'!X21/'Fin-Forecast'!X15</f>
        <v>115512.89200000001</v>
      </c>
      <c r="Y12" s="33">
        <f>'Fin-Forecast'!Y21/'Fin-Forecast'!Y15</f>
        <v>116668.02092000001</v>
      </c>
      <c r="Z12" s="33">
        <f>'Fin-Forecast'!Z21/'Fin-Forecast'!Z15</f>
        <v>119001.38133840002</v>
      </c>
      <c r="AA12" s="33">
        <f>'Fin-Forecast'!AA21/'Fin-Forecast'!AA15</f>
        <v>121381.40896516803</v>
      </c>
    </row>
    <row r="13" spans="1:27" x14ac:dyDescent="0.2">
      <c r="A13" s="10" t="s">
        <v>123</v>
      </c>
      <c r="B13" s="33">
        <f t="shared" ref="B13:AA13" si="3">B11+B12</f>
        <v>128925.5075342471</v>
      </c>
      <c r="C13" s="33">
        <f t="shared" si="3"/>
        <v>121640.24794520591</v>
      </c>
      <c r="D13" s="33">
        <f t="shared" si="3"/>
        <v>113417.74931506859</v>
      </c>
      <c r="E13" s="33">
        <f t="shared" si="3"/>
        <v>121102.6123287668</v>
      </c>
      <c r="F13" s="33">
        <f t="shared" si="3"/>
        <v>120607.5479452055</v>
      </c>
      <c r="G13" s="33">
        <f t="shared" si="3"/>
        <v>128353.00361481482</v>
      </c>
      <c r="H13" s="33">
        <f t="shared" si="3"/>
        <v>134770.65379555555</v>
      </c>
      <c r="I13" s="33">
        <f t="shared" si="3"/>
        <v>140835.33321635553</v>
      </c>
      <c r="J13" s="33">
        <f t="shared" si="3"/>
        <v>146468.74654500975</v>
      </c>
      <c r="K13" s="33">
        <f t="shared" si="3"/>
        <v>151595.15267408511</v>
      </c>
      <c r="L13" s="33">
        <f t="shared" si="3"/>
        <v>156143.00725430762</v>
      </c>
      <c r="M13" s="33">
        <f t="shared" si="3"/>
        <v>160827.29747193688</v>
      </c>
      <c r="N13" s="33">
        <f t="shared" si="3"/>
        <v>131985.6357925926</v>
      </c>
      <c r="O13" s="33">
        <f t="shared" si="3"/>
        <v>142544.48665600002</v>
      </c>
      <c r="P13" s="33">
        <f t="shared" si="3"/>
        <v>152522.60072192003</v>
      </c>
      <c r="Q13" s="33">
        <f t="shared" si="3"/>
        <v>161673.95676523523</v>
      </c>
      <c r="R13" s="33">
        <f t="shared" si="3"/>
        <v>169757.65460349704</v>
      </c>
      <c r="S13" s="33">
        <f t="shared" si="3"/>
        <v>176547.9607876369</v>
      </c>
      <c r="T13" s="33">
        <f t="shared" si="3"/>
        <v>183609.8792191424</v>
      </c>
      <c r="U13" s="33">
        <f t="shared" si="3"/>
        <v>123509.49404444444</v>
      </c>
      <c r="V13" s="33">
        <f t="shared" si="3"/>
        <v>124744.58898488889</v>
      </c>
      <c r="W13" s="33">
        <f t="shared" si="3"/>
        <v>124744.58898488889</v>
      </c>
      <c r="X13" s="33">
        <f t="shared" si="3"/>
        <v>123497.14309504001</v>
      </c>
      <c r="Y13" s="33">
        <f t="shared" si="3"/>
        <v>124732.11452599042</v>
      </c>
      <c r="Z13" s="33">
        <f t="shared" si="3"/>
        <v>127226.75681651023</v>
      </c>
      <c r="AA13" s="33">
        <f t="shared" si="3"/>
        <v>129771.29195284045</v>
      </c>
    </row>
    <row r="14" spans="1:27" x14ac:dyDescent="0.2">
      <c r="A14" s="10" t="s">
        <v>167</v>
      </c>
      <c r="B14" s="33">
        <f t="shared" ref="B14:AA14" si="4">B10+B12</f>
        <v>138755.5075342471</v>
      </c>
      <c r="C14" s="33">
        <f t="shared" si="4"/>
        <v>130869.24794520591</v>
      </c>
      <c r="D14" s="33">
        <f t="shared" si="4"/>
        <v>126233.74931506859</v>
      </c>
      <c r="E14" s="33">
        <f t="shared" si="4"/>
        <v>126657.6123287668</v>
      </c>
      <c r="F14" s="33">
        <f t="shared" si="4"/>
        <v>125864.5479452055</v>
      </c>
      <c r="G14" s="33">
        <f t="shared" si="4"/>
        <v>133610.00361481481</v>
      </c>
      <c r="H14" s="33">
        <f t="shared" si="4"/>
        <v>140027.65379555555</v>
      </c>
      <c r="I14" s="33">
        <f t="shared" si="4"/>
        <v>146092.33321635553</v>
      </c>
      <c r="J14" s="33">
        <f t="shared" si="4"/>
        <v>151725.74654500975</v>
      </c>
      <c r="K14" s="33">
        <f t="shared" si="4"/>
        <v>156852.15267408511</v>
      </c>
      <c r="L14" s="33">
        <f t="shared" si="4"/>
        <v>161400.00725430762</v>
      </c>
      <c r="M14" s="33">
        <f t="shared" si="4"/>
        <v>166084.29747193688</v>
      </c>
      <c r="N14" s="33">
        <f t="shared" si="4"/>
        <v>137242.6357925926</v>
      </c>
      <c r="O14" s="33">
        <f t="shared" si="4"/>
        <v>147801.48665600002</v>
      </c>
      <c r="P14" s="33">
        <f t="shared" si="4"/>
        <v>157779.60072192003</v>
      </c>
      <c r="Q14" s="33">
        <f t="shared" si="4"/>
        <v>166930.95676523523</v>
      </c>
      <c r="R14" s="33">
        <f t="shared" si="4"/>
        <v>175014.65460349704</v>
      </c>
      <c r="S14" s="33">
        <f t="shared" si="4"/>
        <v>181804.9607876369</v>
      </c>
      <c r="T14" s="33">
        <f t="shared" si="4"/>
        <v>188866.8792191424</v>
      </c>
      <c r="U14" s="33">
        <f t="shared" si="4"/>
        <v>128766.49404444444</v>
      </c>
      <c r="V14" s="33">
        <f t="shared" si="4"/>
        <v>130001.58898488889</v>
      </c>
      <c r="W14" s="33">
        <f t="shared" si="4"/>
        <v>130001.58898488889</v>
      </c>
      <c r="X14" s="33">
        <f t="shared" si="4"/>
        <v>128754.14309504001</v>
      </c>
      <c r="Y14" s="33">
        <f t="shared" si="4"/>
        <v>129989.11452599042</v>
      </c>
      <c r="Z14" s="33">
        <f t="shared" si="4"/>
        <v>132483.75681651023</v>
      </c>
      <c r="AA14" s="33">
        <f t="shared" si="4"/>
        <v>135028.29195284043</v>
      </c>
    </row>
    <row r="15" spans="1:27" x14ac:dyDescent="0.2">
      <c r="A15" s="5" t="s">
        <v>168</v>
      </c>
      <c r="B15" s="25">
        <v>146529</v>
      </c>
      <c r="C15" s="25">
        <v>138805</v>
      </c>
      <c r="D15" s="25">
        <v>134711</v>
      </c>
      <c r="E15" s="25">
        <v>135161</v>
      </c>
      <c r="F15" s="25">
        <v>133960</v>
      </c>
      <c r="G15" s="33">
        <f t="shared" ref="G15:AA15" si="5">G8+G12</f>
        <v>145408.99081481481</v>
      </c>
      <c r="H15" s="33">
        <f t="shared" si="5"/>
        <v>152416.59035555556</v>
      </c>
      <c r="I15" s="33">
        <f t="shared" si="5"/>
        <v>159038.77192155551</v>
      </c>
      <c r="J15" s="33">
        <f t="shared" si="5"/>
        <v>165190.04279841777</v>
      </c>
      <c r="K15" s="33">
        <f t="shared" si="5"/>
        <v>170787.69929636238</v>
      </c>
      <c r="L15" s="33">
        <f t="shared" si="5"/>
        <v>175753.62027525323</v>
      </c>
      <c r="M15" s="33">
        <f t="shared" si="5"/>
        <v>180868.51888351084</v>
      </c>
      <c r="N15" s="33">
        <f t="shared" si="5"/>
        <v>149375.55659259259</v>
      </c>
      <c r="O15" s="33">
        <f t="shared" si="5"/>
        <v>160905.04112000001</v>
      </c>
      <c r="P15" s="33">
        <f t="shared" si="5"/>
        <v>171800.40399840003</v>
      </c>
      <c r="Q15" s="33">
        <f t="shared" si="5"/>
        <v>181793.00823830406</v>
      </c>
      <c r="R15" s="33">
        <f t="shared" si="5"/>
        <v>190619.80865021929</v>
      </c>
      <c r="S15" s="33">
        <f t="shared" si="5"/>
        <v>198034.32099622802</v>
      </c>
      <c r="T15" s="33">
        <f t="shared" si="5"/>
        <v>205745.41383607718</v>
      </c>
      <c r="U15" s="33">
        <f t="shared" si="5"/>
        <v>140120.23644444445</v>
      </c>
      <c r="V15" s="33">
        <f t="shared" si="5"/>
        <v>141468.86880888889</v>
      </c>
      <c r="W15" s="33">
        <f t="shared" si="5"/>
        <v>141468.86880888889</v>
      </c>
      <c r="X15" s="33">
        <f t="shared" si="5"/>
        <v>140106.75012080002</v>
      </c>
      <c r="Y15" s="33">
        <f t="shared" si="5"/>
        <v>141455.24762200803</v>
      </c>
      <c r="Z15" s="33">
        <f t="shared" si="5"/>
        <v>144179.2125744482</v>
      </c>
      <c r="AA15" s="33">
        <f t="shared" si="5"/>
        <v>146957.65682593716</v>
      </c>
    </row>
    <row r="17" spans="1:27" x14ac:dyDescent="0.2">
      <c r="A17" s="4" t="s">
        <v>169</v>
      </c>
    </row>
    <row r="18" spans="1:27" x14ac:dyDescent="0.2">
      <c r="A18" s="5" t="s">
        <v>125</v>
      </c>
      <c r="B18" s="25">
        <v>77575</v>
      </c>
      <c r="C18" s="25">
        <v>64191</v>
      </c>
      <c r="D18" s="25">
        <v>60120</v>
      </c>
      <c r="E18" s="25">
        <v>67841</v>
      </c>
      <c r="F18" s="25">
        <v>68379</v>
      </c>
      <c r="G18" s="33">
        <f t="shared" ref="G18:M18" si="6">F18-2000</f>
        <v>66379</v>
      </c>
      <c r="H18" s="33">
        <f t="shared" si="6"/>
        <v>64379</v>
      </c>
      <c r="I18" s="33">
        <f t="shared" si="6"/>
        <v>62379</v>
      </c>
      <c r="J18" s="33">
        <f t="shared" si="6"/>
        <v>60379</v>
      </c>
      <c r="K18" s="33">
        <f t="shared" si="6"/>
        <v>58379</v>
      </c>
      <c r="L18" s="33">
        <f t="shared" si="6"/>
        <v>56379</v>
      </c>
      <c r="M18" s="33">
        <f t="shared" si="6"/>
        <v>54379</v>
      </c>
      <c r="N18" s="33">
        <f>F18-2000</f>
        <v>66379</v>
      </c>
      <c r="O18" s="33">
        <f t="shared" ref="O18:T18" si="7">N18-2000</f>
        <v>64379</v>
      </c>
      <c r="P18" s="33">
        <f t="shared" si="7"/>
        <v>62379</v>
      </c>
      <c r="Q18" s="33">
        <f t="shared" si="7"/>
        <v>60379</v>
      </c>
      <c r="R18" s="33">
        <f t="shared" si="7"/>
        <v>58379</v>
      </c>
      <c r="S18" s="33">
        <f t="shared" si="7"/>
        <v>56379</v>
      </c>
      <c r="T18" s="33">
        <f t="shared" si="7"/>
        <v>54379</v>
      </c>
      <c r="U18" s="33">
        <f>F18-2000</f>
        <v>66379</v>
      </c>
      <c r="V18" s="33">
        <f t="shared" ref="V18:AA18" si="8">U18-2000</f>
        <v>64379</v>
      </c>
      <c r="W18" s="33">
        <f t="shared" si="8"/>
        <v>62379</v>
      </c>
      <c r="X18" s="33">
        <f t="shared" si="8"/>
        <v>60379</v>
      </c>
      <c r="Y18" s="33">
        <f t="shared" si="8"/>
        <v>58379</v>
      </c>
      <c r="Z18" s="33">
        <f t="shared" si="8"/>
        <v>56379</v>
      </c>
      <c r="AA18" s="33">
        <f t="shared" si="8"/>
        <v>54379</v>
      </c>
    </row>
    <row r="19" spans="1:27" x14ac:dyDescent="0.2">
      <c r="A19" s="5" t="s">
        <v>170</v>
      </c>
      <c r="B19" s="25">
        <v>42934.657534246602</v>
      </c>
      <c r="C19" s="25">
        <v>46488.547945205501</v>
      </c>
      <c r="D19" s="25">
        <v>53000.849315068503</v>
      </c>
      <c r="E19" s="25">
        <v>52635.912328767103</v>
      </c>
      <c r="F19" s="25">
        <v>57655.547945205501</v>
      </c>
      <c r="G19" s="33">
        <f>F19</f>
        <v>57655.547945205501</v>
      </c>
      <c r="H19" s="33">
        <f>F19</f>
        <v>57655.547945205501</v>
      </c>
      <c r="I19" s="33">
        <f>F19</f>
        <v>57655.547945205501</v>
      </c>
      <c r="J19" s="33">
        <f>F19</f>
        <v>57655.547945205501</v>
      </c>
      <c r="K19" s="33">
        <f>F19</f>
        <v>57655.547945205501</v>
      </c>
      <c r="L19" s="33">
        <f>F19</f>
        <v>57655.547945205501</v>
      </c>
      <c r="M19" s="33">
        <f>F19</f>
        <v>57655.547945205501</v>
      </c>
      <c r="N19" s="33">
        <f>F19</f>
        <v>57655.547945205501</v>
      </c>
      <c r="O19" s="33">
        <f>F19</f>
        <v>57655.547945205501</v>
      </c>
      <c r="P19" s="33">
        <f>F19</f>
        <v>57655.547945205501</v>
      </c>
      <c r="Q19" s="33">
        <f>F19</f>
        <v>57655.547945205501</v>
      </c>
      <c r="R19" s="33">
        <f>F19</f>
        <v>57655.547945205501</v>
      </c>
      <c r="S19" s="33">
        <f>F19</f>
        <v>57655.547945205501</v>
      </c>
      <c r="T19" s="33">
        <f>F19</f>
        <v>57655.547945205501</v>
      </c>
      <c r="U19" s="33">
        <f>F19</f>
        <v>57655.547945205501</v>
      </c>
      <c r="V19" s="33">
        <f>F19</f>
        <v>57655.547945205501</v>
      </c>
      <c r="W19" s="33">
        <f>F19</f>
        <v>57655.547945205501</v>
      </c>
      <c r="X19" s="33">
        <f>F19</f>
        <v>57655.547945205501</v>
      </c>
      <c r="Y19" s="33">
        <f>F19</f>
        <v>57655.547945205501</v>
      </c>
      <c r="Z19" s="33">
        <f>F19</f>
        <v>57655.547945205501</v>
      </c>
      <c r="AA19" s="33">
        <f>F19</f>
        <v>57655.547945205501</v>
      </c>
    </row>
    <row r="20" spans="1:27" x14ac:dyDescent="0.2">
      <c r="A20" s="5" t="s">
        <v>171</v>
      </c>
      <c r="B20" s="25">
        <v>15408</v>
      </c>
      <c r="C20" s="25">
        <v>17254</v>
      </c>
      <c r="D20" s="25">
        <v>10360</v>
      </c>
      <c r="E20" s="25">
        <v>3325</v>
      </c>
      <c r="F20" s="25">
        <v>-3270</v>
      </c>
      <c r="G20" s="33">
        <f>F20+'Fin-Forecast'!G32-'Fin-Forecast'!G36*'Fin-Forecast'!G34-'Fin-Forecast'!G16</f>
        <v>-1549.8380021739122</v>
      </c>
      <c r="H20" s="33">
        <f>G20+'Fin-Forecast'!H32-'Fin-Forecast'!H36*'Fin-Forecast'!H34-'Fin-Forecast'!H16</f>
        <v>845.56980387755175</v>
      </c>
      <c r="I20" s="33">
        <f>H20+'Fin-Forecast'!I32-'Fin-Forecast'!I36*'Fin-Forecast'!I34-'Fin-Forecast'!I16</f>
        <v>3737.5197813604409</v>
      </c>
      <c r="J20" s="33">
        <f>I20+'Fin-Forecast'!J32-'Fin-Forecast'!J36*'Fin-Forecast'!J34-'Fin-Forecast'!J16</f>
        <v>6981.7811564456188</v>
      </c>
      <c r="K20" s="33">
        <f>J20+'Fin-Forecast'!K32-'Fin-Forecast'!K36*'Fin-Forecast'!K34-'Fin-Forecast'!K16</f>
        <v>10349.533309642198</v>
      </c>
      <c r="L20" s="33">
        <f>K20+'Fin-Forecast'!L32-'Fin-Forecast'!L36*'Fin-Forecast'!L34-'Fin-Forecast'!L16</f>
        <v>13705.10251451693</v>
      </c>
      <c r="M20" s="33">
        <f>L20+'Fin-Forecast'!M32-'Fin-Forecast'!M36*'Fin-Forecast'!M34-'Fin-Forecast'!M16</f>
        <v>17020.662538878649</v>
      </c>
      <c r="N20" s="33">
        <f>F20+'Fin-Forecast'!N32-'Fin-Forecast'!N36*'Fin-Forecast'!N34-'Fin-Forecast'!N16</f>
        <v>-169.6097021739115</v>
      </c>
      <c r="O20" s="33">
        <f>N20+'Fin-Forecast'!O32-'Fin-Forecast'!O36*'Fin-Forecast'!O34-'Fin-Forecast'!O16</f>
        <v>4295.2048058775526</v>
      </c>
      <c r="P20" s="33">
        <f>O20+'Fin-Forecast'!P32-'Fin-Forecast'!P36*'Fin-Forecast'!P34-'Fin-Forecast'!P16</f>
        <v>10046.482517040453</v>
      </c>
      <c r="Q20" s="33">
        <f>P20+'Fin-Forecast'!Q32-'Fin-Forecast'!Q36*'Fin-Forecast'!Q34-'Fin-Forecast'!Q16</f>
        <v>16824.928317329162</v>
      </c>
      <c r="R20" s="33">
        <f>Q20+'Fin-Forecast'!R32-'Fin-Forecast'!R36*'Fin-Forecast'!R34-'Fin-Forecast'!R16</f>
        <v>24379.470731881003</v>
      </c>
      <c r="S20" s="33">
        <f>R20+'Fin-Forecast'!S32-'Fin-Forecast'!S36*'Fin-Forecast'!S34-'Fin-Forecast'!S16</f>
        <v>32317.094397583191</v>
      </c>
      <c r="T20" s="33">
        <f>S20+'Fin-Forecast'!T32-'Fin-Forecast'!T36*'Fin-Forecast'!T34-'Fin-Forecast'!T16</f>
        <v>40632.617427893994</v>
      </c>
      <c r="U20" s="33">
        <f>F20+'Fin-Forecast'!U32-'Fin-Forecast'!U36*'Fin-Forecast'!U34-'Fin-Forecast'!U16</f>
        <v>-3317.3620021739116</v>
      </c>
      <c r="V20" s="33">
        <f>U20+'Fin-Forecast'!V32-'Fin-Forecast'!V36*'Fin-Forecast'!V34-'Fin-Forecast'!V16</f>
        <v>-3852.9976565224479</v>
      </c>
      <c r="W20" s="33">
        <f>V20+'Fin-Forecast'!W32-'Fin-Forecast'!W36*'Fin-Forecast'!W34-'Fin-Forecast'!W16</f>
        <v>-5132.434470919552</v>
      </c>
      <c r="X20" s="33">
        <f>W20+'Fin-Forecast'!X32-'Fin-Forecast'!X36*'Fin-Forecast'!X34-'Fin-Forecast'!X16</f>
        <v>-7195.6874048543687</v>
      </c>
      <c r="Y20" s="33">
        <f>X20+'Fin-Forecast'!Y32-'Fin-Forecast'!Y36*'Fin-Forecast'!Y34-'Fin-Forecast'!Y16</f>
        <v>-9738.7483487389782</v>
      </c>
      <c r="Z20" s="33">
        <f>Y20+'Fin-Forecast'!Z32-'Fin-Forecast'!Z36*'Fin-Forecast'!Z34-'Fin-Forecast'!Z16</f>
        <v>-12640.001091905053</v>
      </c>
      <c r="AA20" s="33">
        <f>Z20+'Fin-Forecast'!AA32-'Fin-Forecast'!AA36*'Fin-Forecast'!AA34-'Fin-Forecast'!AA16</f>
        <v>-15941.025821233499</v>
      </c>
    </row>
    <row r="21" spans="1:27" x14ac:dyDescent="0.2">
      <c r="A21" s="10" t="s">
        <v>172</v>
      </c>
      <c r="B21" s="33">
        <f t="shared" ref="B21:AA21" si="9">B18+B19+B20</f>
        <v>135917.65753424659</v>
      </c>
      <c r="C21" s="33">
        <f t="shared" si="9"/>
        <v>127933.5479452055</v>
      </c>
      <c r="D21" s="33">
        <f t="shared" si="9"/>
        <v>123480.84931506851</v>
      </c>
      <c r="E21" s="33">
        <f t="shared" si="9"/>
        <v>123801.9123287671</v>
      </c>
      <c r="F21" s="33">
        <f t="shared" si="9"/>
        <v>122764.5479452055</v>
      </c>
      <c r="G21" s="33">
        <f t="shared" si="9"/>
        <v>122484.70994303159</v>
      </c>
      <c r="H21" s="33">
        <f t="shared" si="9"/>
        <v>122880.11774908306</v>
      </c>
      <c r="I21" s="33">
        <f t="shared" si="9"/>
        <v>123772.06772656595</v>
      </c>
      <c r="J21" s="33">
        <f t="shared" si="9"/>
        <v>125016.32910165112</v>
      </c>
      <c r="K21" s="33">
        <f t="shared" si="9"/>
        <v>126384.0812548477</v>
      </c>
      <c r="L21" s="33">
        <f t="shared" si="9"/>
        <v>127739.65045972243</v>
      </c>
      <c r="M21" s="33">
        <f t="shared" si="9"/>
        <v>129055.21048408415</v>
      </c>
      <c r="N21" s="33">
        <f t="shared" si="9"/>
        <v>123864.93824303159</v>
      </c>
      <c r="O21" s="33">
        <f t="shared" si="9"/>
        <v>126329.75275108306</v>
      </c>
      <c r="P21" s="33">
        <f t="shared" si="9"/>
        <v>130081.03046224595</v>
      </c>
      <c r="Q21" s="33">
        <f t="shared" si="9"/>
        <v>134859.47626253468</v>
      </c>
      <c r="R21" s="33">
        <f t="shared" si="9"/>
        <v>140414.01867708651</v>
      </c>
      <c r="S21" s="33">
        <f t="shared" si="9"/>
        <v>146351.64234278869</v>
      </c>
      <c r="T21" s="33">
        <f t="shared" si="9"/>
        <v>152667.1653730995</v>
      </c>
      <c r="U21" s="33">
        <f t="shared" si="9"/>
        <v>120717.1859430316</v>
      </c>
      <c r="V21" s="33">
        <f t="shared" si="9"/>
        <v>118181.55028868305</v>
      </c>
      <c r="W21" s="33">
        <f t="shared" si="9"/>
        <v>114902.11347428594</v>
      </c>
      <c r="X21" s="33">
        <f t="shared" si="9"/>
        <v>110838.86054035113</v>
      </c>
      <c r="Y21" s="33">
        <f t="shared" si="9"/>
        <v>106295.79959646652</v>
      </c>
      <c r="Z21" s="33">
        <f t="shared" si="9"/>
        <v>101394.54685330045</v>
      </c>
      <c r="AA21" s="33">
        <f t="shared" si="9"/>
        <v>96093.522123971998</v>
      </c>
    </row>
    <row r="23" spans="1:27" x14ac:dyDescent="0.2">
      <c r="A23" s="4" t="s">
        <v>173</v>
      </c>
    </row>
    <row r="24" spans="1:27" x14ac:dyDescent="0.2">
      <c r="A24" s="3" t="s">
        <v>145</v>
      </c>
      <c r="B24" s="37">
        <f>'Fin-Forecast'!B21/B12</f>
        <v>0.45295960077185277</v>
      </c>
      <c r="C24" s="37">
        <f>'Fin-Forecast'!C21/C12</f>
        <v>0.50226041613235894</v>
      </c>
      <c r="D24" s="37">
        <f>'Fin-Forecast'!D21/D12</f>
        <v>0.50811029691132958</v>
      </c>
      <c r="E24" s="37">
        <f>'Fin-Forecast'!E21/E12</f>
        <v>0.4926736930360634</v>
      </c>
      <c r="F24" s="37">
        <f>'Fin-Forecast'!F21/F12</f>
        <v>0.5440376089143264</v>
      </c>
      <c r="G24" s="37">
        <f>'Fin-Forecast'!G21/G12</f>
        <v>0.54</v>
      </c>
      <c r="H24" s="37">
        <f>'Fin-Forecast'!H21/H12</f>
        <v>0.54</v>
      </c>
      <c r="I24" s="37">
        <f>'Fin-Forecast'!I21/I12</f>
        <v>0.54</v>
      </c>
      <c r="J24" s="37">
        <f>'Fin-Forecast'!J21/J12</f>
        <v>0.54</v>
      </c>
      <c r="K24" s="37">
        <f>'Fin-Forecast'!K21/K12</f>
        <v>0.54</v>
      </c>
      <c r="L24" s="37">
        <f>'Fin-Forecast'!L21/L12</f>
        <v>0.54</v>
      </c>
      <c r="M24" s="37">
        <f>'Fin-Forecast'!M21/M12</f>
        <v>0.54</v>
      </c>
      <c r="N24" s="37">
        <f>'Fin-Forecast'!N21/N12</f>
        <v>0.54</v>
      </c>
      <c r="O24" s="37">
        <f>'Fin-Forecast'!O21/O12</f>
        <v>0.54</v>
      </c>
      <c r="P24" s="37">
        <f>'Fin-Forecast'!P21/P12</f>
        <v>0.54</v>
      </c>
      <c r="Q24" s="37">
        <f>'Fin-Forecast'!Q21/Q12</f>
        <v>0.54</v>
      </c>
      <c r="R24" s="37">
        <f>'Fin-Forecast'!R21/R12</f>
        <v>0.54</v>
      </c>
      <c r="S24" s="37">
        <f>'Fin-Forecast'!S21/S12</f>
        <v>0.54</v>
      </c>
      <c r="T24" s="37">
        <f>'Fin-Forecast'!T21/T12</f>
        <v>0.54</v>
      </c>
      <c r="U24" s="37">
        <f>'Fin-Forecast'!U21/U12</f>
        <v>0.54</v>
      </c>
      <c r="V24" s="37">
        <f>'Fin-Forecast'!V21/V12</f>
        <v>0.54</v>
      </c>
      <c r="W24" s="37">
        <f>'Fin-Forecast'!W21/W12</f>
        <v>0.54</v>
      </c>
      <c r="X24" s="37">
        <f>'Fin-Forecast'!X21/X12</f>
        <v>0.54</v>
      </c>
      <c r="Y24" s="37">
        <f>'Fin-Forecast'!Y21/Y12</f>
        <v>0.54</v>
      </c>
      <c r="Z24" s="37">
        <f>'Fin-Forecast'!Z21/Z12</f>
        <v>0.54</v>
      </c>
      <c r="AA24" s="37">
        <f>'Fin-Forecast'!AA21/AA12</f>
        <v>0.54</v>
      </c>
    </row>
    <row r="25" spans="1:27" x14ac:dyDescent="0.2">
      <c r="A25" s="3" t="s">
        <v>174</v>
      </c>
      <c r="B25" s="37">
        <f>'Fin-Forecast'!B21/B13</f>
        <v>0.43588736685851032</v>
      </c>
      <c r="C25" s="37">
        <f>'Fin-Forecast'!C21/C13</f>
        <v>0.47725979665999219</v>
      </c>
      <c r="D25" s="37">
        <f>'Fin-Forecast'!D21/D13</f>
        <v>0.47891974869918669</v>
      </c>
      <c r="E25" s="37">
        <f>'Fin-Forecast'!E21/E13</f>
        <v>0.46517576224586843</v>
      </c>
      <c r="F25" s="37">
        <f>'Fin-Forecast'!F21/F13</f>
        <v>0.50709927398396537</v>
      </c>
      <c r="G25" s="37">
        <f>'Fin-Forecast'!G21/G13</f>
        <v>0.50508829691709067</v>
      </c>
      <c r="H25" s="37">
        <f>'Fin-Forecast'!H21/H13</f>
        <v>0.50508829691709067</v>
      </c>
      <c r="I25" s="37">
        <f>'Fin-Forecast'!I21/I13</f>
        <v>0.50508829691709067</v>
      </c>
      <c r="J25" s="37">
        <f>'Fin-Forecast'!J21/J13</f>
        <v>0.50508829691709078</v>
      </c>
      <c r="K25" s="37">
        <f>'Fin-Forecast'!K21/K13</f>
        <v>0.50508829691709067</v>
      </c>
      <c r="L25" s="37">
        <f>'Fin-Forecast'!L21/L13</f>
        <v>0.50508829691709078</v>
      </c>
      <c r="M25" s="37">
        <f>'Fin-Forecast'!M21/M13</f>
        <v>0.50508829691709078</v>
      </c>
      <c r="N25" s="37">
        <f>'Fin-Forecast'!N21/N13</f>
        <v>0.50508829691709078</v>
      </c>
      <c r="O25" s="37">
        <f>'Fin-Forecast'!O21/O13</f>
        <v>0.50508829691709067</v>
      </c>
      <c r="P25" s="37">
        <f>'Fin-Forecast'!P21/P13</f>
        <v>0.50508829691709067</v>
      </c>
      <c r="Q25" s="37">
        <f>'Fin-Forecast'!Q21/Q13</f>
        <v>0.50508829691709078</v>
      </c>
      <c r="R25" s="37">
        <f>'Fin-Forecast'!R21/R13</f>
        <v>0.50508829691709067</v>
      </c>
      <c r="S25" s="37">
        <f>'Fin-Forecast'!S21/S13</f>
        <v>0.50508829691709067</v>
      </c>
      <c r="T25" s="37">
        <f>'Fin-Forecast'!T21/T13</f>
        <v>0.50508829691709067</v>
      </c>
      <c r="U25" s="37">
        <f>'Fin-Forecast'!U21/U13</f>
        <v>0.50508829691709078</v>
      </c>
      <c r="V25" s="37">
        <f>'Fin-Forecast'!V21/V13</f>
        <v>0.50508829691709078</v>
      </c>
      <c r="W25" s="37">
        <f>'Fin-Forecast'!W21/W13</f>
        <v>0.50508829691709078</v>
      </c>
      <c r="X25" s="37">
        <f>'Fin-Forecast'!X21/X13</f>
        <v>0.50508829691709067</v>
      </c>
      <c r="Y25" s="37">
        <f>'Fin-Forecast'!Y21/Y13</f>
        <v>0.50508829691709067</v>
      </c>
      <c r="Z25" s="37">
        <f>'Fin-Forecast'!Z21/Z13</f>
        <v>0.50508829691709078</v>
      </c>
      <c r="AA25" s="37">
        <f>'Fin-Forecast'!AA21/AA13</f>
        <v>0.50508829691709067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43"/>
  <sheetViews>
    <sheetView showGridLines="0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G41" sqref="G41"/>
    </sheetView>
  </sheetViews>
  <sheetFormatPr baseColWidth="10" defaultColWidth="8.6640625" defaultRowHeight="15" x14ac:dyDescent="0.2"/>
  <cols>
    <col min="1" max="1" width="40" customWidth="1"/>
    <col min="2" max="13" width="12" customWidth="1"/>
  </cols>
  <sheetData>
    <row r="1" spans="1:13" ht="16" x14ac:dyDescent="0.2">
      <c r="A1" s="7" t="s">
        <v>175</v>
      </c>
    </row>
    <row r="2" spans="1:13" x14ac:dyDescent="0.2">
      <c r="A2" s="6" t="s">
        <v>176</v>
      </c>
    </row>
    <row r="4" spans="1:13" x14ac:dyDescent="0.2">
      <c r="A4" s="13" t="s">
        <v>59</v>
      </c>
      <c r="B4" s="14" t="s">
        <v>113</v>
      </c>
      <c r="C4" s="14" t="s">
        <v>114</v>
      </c>
      <c r="D4" s="14" t="s">
        <v>115</v>
      </c>
      <c r="E4" s="14" t="s">
        <v>60</v>
      </c>
      <c r="F4" s="14" t="s">
        <v>61</v>
      </c>
      <c r="G4" s="26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26" t="s">
        <v>67</v>
      </c>
      <c r="M4" s="26" t="s">
        <v>68</v>
      </c>
    </row>
    <row r="5" spans="1:13" x14ac:dyDescent="0.2">
      <c r="A5" s="4" t="s">
        <v>177</v>
      </c>
    </row>
    <row r="6" spans="1:13" x14ac:dyDescent="0.2">
      <c r="A6" s="5" t="s">
        <v>178</v>
      </c>
      <c r="B6" s="12">
        <f>'Fin-Forecast'!B23/'Fin-Forecast'!B21</f>
        <v>0.69493033435948537</v>
      </c>
      <c r="C6" s="12">
        <f>'Fin-Forecast'!C23/'Fin-Forecast'!C21</f>
        <v>0.71672925207565374</v>
      </c>
      <c r="D6" s="12">
        <f>'Fin-Forecast'!D23/'Fin-Forecast'!D21</f>
        <v>0.69347177731138854</v>
      </c>
      <c r="E6" s="12">
        <f>'Fin-Forecast'!E23/'Fin-Forecast'!E21</f>
        <v>0.70122838782972985</v>
      </c>
      <c r="F6" s="12">
        <f>'Fin-Forecast'!F23/'Fin-Forecast'!F21</f>
        <v>0.7012753433616743</v>
      </c>
      <c r="G6" s="12">
        <f>'Fin-Forecast'!G23/'Fin-Forecast'!G21</f>
        <v>0.7</v>
      </c>
      <c r="H6" s="12">
        <f>'Fin-Forecast'!H23/'Fin-Forecast'!H21</f>
        <v>0.7</v>
      </c>
      <c r="I6" s="12">
        <f>'Fin-Forecast'!I23/'Fin-Forecast'!I21</f>
        <v>0.7</v>
      </c>
      <c r="J6" s="12">
        <f>'Fin-Forecast'!J23/'Fin-Forecast'!J21</f>
        <v>0.7</v>
      </c>
      <c r="K6" s="12">
        <f>'Fin-Forecast'!K23/'Fin-Forecast'!K21</f>
        <v>0.7</v>
      </c>
      <c r="L6" s="12">
        <f>'Fin-Forecast'!L23/'Fin-Forecast'!L21</f>
        <v>0.7</v>
      </c>
      <c r="M6" s="12">
        <f>'Fin-Forecast'!M23/'Fin-Forecast'!M21</f>
        <v>0.7</v>
      </c>
    </row>
    <row r="7" spans="1:13" x14ac:dyDescent="0.2">
      <c r="A7" s="5" t="s">
        <v>179</v>
      </c>
      <c r="B7" s="12">
        <f>'Fin-Forecast'!B25/'Fin-Forecast'!B21</f>
        <v>0.35142445326262967</v>
      </c>
      <c r="C7" s="12">
        <f>'Fin-Forecast'!C25/'Fin-Forecast'!C21</f>
        <v>0.38932717814448614</v>
      </c>
      <c r="D7" s="12">
        <f>'Fin-Forecast'!D25/'Fin-Forecast'!D21</f>
        <v>0.33289149085017855</v>
      </c>
      <c r="E7" s="12">
        <f>'Fin-Forecast'!E25/'Fin-Forecast'!E21</f>
        <v>0.29511485071182592</v>
      </c>
      <c r="F7" s="12">
        <f>'Fin-Forecast'!F25/'Fin-Forecast'!F21</f>
        <v>0.3419391759319817</v>
      </c>
      <c r="G7" s="12">
        <f>'Fin-Forecast'!G25/'Fin-Forecast'!G21</f>
        <v>0.34</v>
      </c>
      <c r="H7" s="12">
        <f>'Fin-Forecast'!H25/'Fin-Forecast'!H21</f>
        <v>0.34499999999999997</v>
      </c>
      <c r="I7" s="12">
        <f>'Fin-Forecast'!I25/'Fin-Forecast'!I21</f>
        <v>0.34799999999999998</v>
      </c>
      <c r="J7" s="12">
        <f>'Fin-Forecast'!J25/'Fin-Forecast'!J21</f>
        <v>0.35</v>
      </c>
      <c r="K7" s="12">
        <f>'Fin-Forecast'!K25/'Fin-Forecast'!K21</f>
        <v>0.35</v>
      </c>
      <c r="L7" s="12">
        <f>'Fin-Forecast'!L25/'Fin-Forecast'!L21</f>
        <v>0.35</v>
      </c>
      <c r="M7" s="12">
        <f>'Fin-Forecast'!M25/'Fin-Forecast'!M21</f>
        <v>0.35</v>
      </c>
    </row>
    <row r="8" spans="1:13" x14ac:dyDescent="0.2">
      <c r="A8" s="5" t="s">
        <v>180</v>
      </c>
      <c r="B8" s="12">
        <f>'Fin-Forecast'!B32/'Fin-Forecast'!B21</f>
        <v>0.20406783280246277</v>
      </c>
      <c r="C8" s="12">
        <f>'Fin-Forecast'!C32/'Fin-Forecast'!C21</f>
        <v>0.20294897853722396</v>
      </c>
      <c r="D8" s="12">
        <f>'Fin-Forecast'!D32/'Fin-Forecast'!D21</f>
        <v>8.8736698700246697E-2</v>
      </c>
      <c r="E8" s="12">
        <f>'Fin-Forecast'!E32/'Fin-Forecast'!E21</f>
        <v>7.5229878936343947E-2</v>
      </c>
      <c r="F8" s="12">
        <f>'Fin-Forecast'!F32/'Fin-Forecast'!F21</f>
        <v>6.8443427076520597E-2</v>
      </c>
      <c r="G8" s="12">
        <f>'Fin-Forecast'!G32/'Fin-Forecast'!G21</f>
        <v>0.24924583292199859</v>
      </c>
      <c r="H8" s="12">
        <f>'Fin-Forecast'!H32/'Fin-Forecast'!H21</f>
        <v>0.25651271376919538</v>
      </c>
      <c r="I8" s="12">
        <f>'Fin-Forecast'!I32/'Fin-Forecast'!I21</f>
        <v>0.26172013305382696</v>
      </c>
      <c r="J8" s="12">
        <f>'Fin-Forecast'!J32/'Fin-Forecast'!J21</f>
        <v>0.26576496532324539</v>
      </c>
      <c r="K8" s="12">
        <f>'Fin-Forecast'!K32/'Fin-Forecast'!K21</f>
        <v>0.26783723041483032</v>
      </c>
      <c r="L8" s="12">
        <f>'Fin-Forecast'!L32/'Fin-Forecast'!L21</f>
        <v>0.2696711942549162</v>
      </c>
      <c r="M8" s="12">
        <f>'Fin-Forecast'!M32/'Fin-Forecast'!M21</f>
        <v>0.27142348925468668</v>
      </c>
    </row>
    <row r="10" spans="1:13" x14ac:dyDescent="0.2">
      <c r="A10" s="4" t="s">
        <v>181</v>
      </c>
    </row>
    <row r="11" spans="1:13" x14ac:dyDescent="0.2">
      <c r="A11" s="5" t="s">
        <v>182</v>
      </c>
      <c r="B11" s="12">
        <f>'Fin-Capital'!B18/'Fin-Capital'!B15</f>
        <v>0.52941738495451407</v>
      </c>
      <c r="C11" s="12">
        <f>'Fin-Capital'!C18/'Fin-Capital'!C15</f>
        <v>0.46245452253160907</v>
      </c>
      <c r="D11" s="12">
        <f>'Fin-Capital'!D18/'Fin-Capital'!D15</f>
        <v>0.44628872178218559</v>
      </c>
      <c r="E11" s="12">
        <f>'Fin-Capital'!E18/'Fin-Capital'!E15</f>
        <v>0.50192733110882581</v>
      </c>
      <c r="F11" s="12">
        <f>'Fin-Capital'!F18/'Fin-Capital'!F15</f>
        <v>0.51044341594505827</v>
      </c>
      <c r="G11" s="12">
        <f>'Fin-Capital'!G18/'Fin-Capital'!G15</f>
        <v>0.4564985949495845</v>
      </c>
      <c r="H11" s="12">
        <f>'Fin-Capital'!H18/'Fin-Capital'!H15</f>
        <v>0.42238840174693226</v>
      </c>
      <c r="I11" s="12">
        <f>'Fin-Capital'!I18/'Fin-Capital'!I15</f>
        <v>0.39222511118715064</v>
      </c>
      <c r="J11" s="12">
        <f>'Fin-Capital'!J18/'Fin-Capital'!J15</f>
        <v>0.36551234552121764</v>
      </c>
      <c r="K11" s="12">
        <f>'Fin-Capital'!K18/'Fin-Capital'!K15</f>
        <v>0.3418220412858704</v>
      </c>
      <c r="L11" s="12">
        <f>'Fin-Capital'!L18/'Fin-Capital'!L15</f>
        <v>0.32078428832193095</v>
      </c>
      <c r="M11" s="12">
        <f>'Fin-Capital'!M18/'Fin-Capital'!M15</f>
        <v>0.30065486429411759</v>
      </c>
    </row>
    <row r="12" spans="1:13" x14ac:dyDescent="0.2">
      <c r="A12" s="5" t="s">
        <v>183</v>
      </c>
      <c r="B12" s="38">
        <f>'Fin-Capital'!B18/'Fin-Forecast'!B25</f>
        <v>3.9280469897209986</v>
      </c>
      <c r="C12" s="38">
        <f>'Fin-Capital'!C18/'Fin-Forecast'!C25</f>
        <v>2.8400584019113353</v>
      </c>
      <c r="D12" s="38">
        <f>'Fin-Capital'!D18/'Fin-Forecast'!D25</f>
        <v>3.32485344541533</v>
      </c>
      <c r="E12" s="38">
        <f>'Fin-Capital'!E18/'Fin-Forecast'!E25</f>
        <v>4.080661654135338</v>
      </c>
      <c r="F12" s="38">
        <f>'Fin-Capital'!F18/'Fin-Forecast'!F25</f>
        <v>3.2696887103715393</v>
      </c>
      <c r="G12" s="38">
        <f>'Fin-Capital'!G18/'Fin-Forecast'!G25</f>
        <v>3.0114693433428008</v>
      </c>
      <c r="H12" s="38">
        <f>'Fin-Capital'!H18/'Fin-Forecast'!H25</f>
        <v>2.7413373946975614</v>
      </c>
      <c r="I12" s="38">
        <f>'Fin-Capital'!I18/'Fin-Forecast'!I25</f>
        <v>2.5198821655021328</v>
      </c>
      <c r="J12" s="38">
        <f>'Fin-Capital'!J18/'Fin-Forecast'!J25</f>
        <v>2.3318767954212958</v>
      </c>
      <c r="K12" s="38">
        <f>'Fin-Capital'!K18/'Fin-Forecast'!K25</f>
        <v>2.1783917648032092</v>
      </c>
      <c r="L12" s="38">
        <f>'Fin-Capital'!L18/'Fin-Forecast'!L25</f>
        <v>2.042487836144034</v>
      </c>
      <c r="M12" s="38">
        <f>'Fin-Capital'!M18/'Fin-Forecast'!M25</f>
        <v>1.9126526323437654</v>
      </c>
    </row>
    <row r="13" spans="1:13" x14ac:dyDescent="0.2">
      <c r="A13" s="5" t="s">
        <v>184</v>
      </c>
      <c r="B13" s="38">
        <f>'Fin-Forecast'!B25/'Fin-Forecast'!B29</f>
        <v>8.0641077991016736</v>
      </c>
      <c r="C13" s="38">
        <f>'Fin-Forecast'!C25/'Fin-Forecast'!C29</f>
        <v>9.6342710997442449</v>
      </c>
      <c r="D13" s="38">
        <f>'Fin-Forecast'!D25/'Fin-Forecast'!D29</f>
        <v>7.6618644067796611</v>
      </c>
      <c r="E13" s="38">
        <f>'Fin-Forecast'!E25/'Fin-Forecast'!E29</f>
        <v>5.6279620853080567</v>
      </c>
      <c r="F13" s="38">
        <f>'Fin-Forecast'!F25/'Fin-Forecast'!F29</f>
        <v>6.8365478914677995</v>
      </c>
      <c r="G13" s="38">
        <f>'Fin-Forecast'!G25/'Fin-Forecast'!G29</f>
        <v>7.2696781555743559</v>
      </c>
      <c r="H13" s="38">
        <f>'Fin-Forecast'!H25/'Fin-Forecast'!H29</f>
        <v>7.9823533550528465</v>
      </c>
      <c r="I13" s="38">
        <f>'Fin-Forecast'!I25/'Fin-Forecast'!I29</f>
        <v>8.6796113513939943</v>
      </c>
      <c r="J13" s="38">
        <f>'Fin-Forecast'!J25/'Fin-Forecast'!J29</f>
        <v>9.3744973979156825</v>
      </c>
      <c r="K13" s="38">
        <f>'Fin-Forecast'!K25/'Fin-Forecast'!K29</f>
        <v>10.029407373637143</v>
      </c>
      <c r="L13" s="38">
        <f>'Fin-Forecast'!L25/'Fin-Forecast'!L29</f>
        <v>10.690361732556786</v>
      </c>
      <c r="M13" s="38">
        <f>'Fin-Forecast'!M25/'Fin-Forecast'!M29</f>
        <v>11.408734968633366</v>
      </c>
    </row>
    <row r="14" spans="1:13" x14ac:dyDescent="0.2">
      <c r="A14" s="5" t="s">
        <v>185</v>
      </c>
      <c r="B14" s="12">
        <f>'Fin-Capital'!B18/'Fin-Capital'!B13</f>
        <v>0.60170404975441638</v>
      </c>
      <c r="C14" s="12">
        <f>'Fin-Capital'!C18/'Fin-Capital'!C13</f>
        <v>0.52771184771766899</v>
      </c>
      <c r="D14" s="12">
        <f>'Fin-Capital'!D18/'Fin-Capital'!D13</f>
        <v>0.53007576294773562</v>
      </c>
      <c r="E14" s="12">
        <f>'Fin-Capital'!E18/'Fin-Capital'!E13</f>
        <v>0.56019435663226402</v>
      </c>
      <c r="F14" s="12">
        <f>'Fin-Capital'!F18/'Fin-Capital'!F13</f>
        <v>0.56695456598674898</v>
      </c>
      <c r="G14" s="12">
        <f>'Fin-Capital'!G18/'Fin-Capital'!G13</f>
        <v>0.51715969342799528</v>
      </c>
      <c r="H14" s="12">
        <f>'Fin-Capital'!H18/'Fin-Capital'!H13</f>
        <v>0.47769301540720938</v>
      </c>
      <c r="I14" s="12">
        <f>'Fin-Capital'!I18/'Fin-Capital'!I13</f>
        <v>0.44292152100901755</v>
      </c>
      <c r="J14" s="12">
        <f>'Fin-Capital'!J18/'Fin-Capital'!J13</f>
        <v>0.4122312877269389</v>
      </c>
      <c r="K14" s="12">
        <f>'Fin-Capital'!K18/'Fin-Capital'!K13</f>
        <v>0.38509806527593393</v>
      </c>
      <c r="L14" s="12">
        <f>'Fin-Capital'!L18/'Fin-Capital'!L13</f>
        <v>0.36107284592115241</v>
      </c>
      <c r="M14" s="12">
        <f>'Fin-Capital'!M18/'Fin-Capital'!M13</f>
        <v>0.338120461232576</v>
      </c>
    </row>
    <row r="16" spans="1:13" x14ac:dyDescent="0.2">
      <c r="A16" s="4" t="s">
        <v>186</v>
      </c>
    </row>
    <row r="17" spans="1:13" x14ac:dyDescent="0.2">
      <c r="A17" s="10" t="s">
        <v>187</v>
      </c>
    </row>
    <row r="18" spans="1:13" x14ac:dyDescent="0.2">
      <c r="A18" s="5" t="s">
        <v>188</v>
      </c>
      <c r="B18" s="12">
        <f>'Fin-Forecast'!B33/'Fin-Forecast'!B21</f>
        <v>0.29871078527323519</v>
      </c>
      <c r="C18" s="12">
        <f>'Fin-Forecast'!C33/'Fin-Forecast'!C21</f>
        <v>0.33092810142281326</v>
      </c>
      <c r="D18" s="12">
        <f>'Fin-Forecast'!D33/'Fin-Forecast'!D21</f>
        <v>0.28295776722265176</v>
      </c>
      <c r="E18" s="12">
        <f>'Fin-Forecast'!E33/'Fin-Forecast'!E21</f>
        <v>0.25084762310505199</v>
      </c>
      <c r="F18" s="12">
        <f>'Fin-Forecast'!F33/'Fin-Forecast'!F21</f>
        <v>0.29064829954218441</v>
      </c>
      <c r="G18" s="12">
        <f>'Fin-Forecast'!G33/'Fin-Forecast'!G21</f>
        <v>0.28899999999999998</v>
      </c>
      <c r="H18" s="12">
        <f>'Fin-Forecast'!H33/'Fin-Forecast'!H21</f>
        <v>0.29324999999999996</v>
      </c>
      <c r="I18" s="12">
        <f>'Fin-Forecast'!I33/'Fin-Forecast'!I21</f>
        <v>0.29580000000000001</v>
      </c>
      <c r="J18" s="12">
        <f>'Fin-Forecast'!J33/'Fin-Forecast'!J21</f>
        <v>0.29749999999999993</v>
      </c>
      <c r="K18" s="12">
        <f>'Fin-Forecast'!K33/'Fin-Forecast'!K21</f>
        <v>0.29749999999999999</v>
      </c>
      <c r="L18" s="12">
        <f>'Fin-Forecast'!L33/'Fin-Forecast'!L21</f>
        <v>0.29749999999999993</v>
      </c>
      <c r="M18" s="12">
        <f>'Fin-Forecast'!M33/'Fin-Forecast'!M21</f>
        <v>0.29749999999999999</v>
      </c>
    </row>
    <row r="19" spans="1:13" x14ac:dyDescent="0.2">
      <c r="A19" s="5" t="s">
        <v>189</v>
      </c>
      <c r="B19" s="3"/>
      <c r="C19" s="38">
        <f>'Fin-Forecast'!C21/(('Fin-Capital'!C13+'Fin-Capital'!B13)/2)</f>
        <v>0.46338335331509867</v>
      </c>
      <c r="D19" s="38">
        <f>'Fin-Forecast'!D21/(('Fin-Capital'!D13+'Fin-Capital'!C13)/2)</f>
        <v>0.46216678975491216</v>
      </c>
      <c r="E19" s="38">
        <f>'Fin-Forecast'!E21/(('Fin-Capital'!E13+'Fin-Capital'!D13)/2)</f>
        <v>0.48041883958505999</v>
      </c>
      <c r="F19" s="38">
        <f>'Fin-Forecast'!F21/(('Fin-Capital'!F13+'Fin-Capital'!E13)/2)</f>
        <v>0.50606064660812522</v>
      </c>
      <c r="G19" s="38">
        <f>'Fin-Forecast'!G21/(('Fin-Capital'!G13+'Fin-Capital'!F13)/2)</f>
        <v>0.52080218808778345</v>
      </c>
      <c r="H19" s="38">
        <f>'Fin-Forecast'!H21/(('Fin-Capital'!H13+'Fin-Capital'!G13)/2)</f>
        <v>0.51740752367116616</v>
      </c>
      <c r="I19" s="38">
        <f>'Fin-Forecast'!I21/(('Fin-Capital'!I13+'Fin-Capital'!H13)/2)</f>
        <v>0.51620270931868917</v>
      </c>
      <c r="J19" s="38">
        <f>'Fin-Forecast'!J21/(('Fin-Capital'!J13+'Fin-Capital'!I13)/2)</f>
        <v>0.51499198901350418</v>
      </c>
      <c r="K19" s="38">
        <f>'Fin-Forecast'!K21/(('Fin-Capital'!K13+'Fin-Capital'!J13)/2)</f>
        <v>0.51377531922278996</v>
      </c>
      <c r="L19" s="38">
        <f>'Fin-Forecast'!L21/(('Fin-Capital'!L13+'Fin-Capital'!K13)/2)</f>
        <v>0.51255265598483091</v>
      </c>
      <c r="M19" s="38">
        <f>'Fin-Forecast'!M21/(('Fin-Capital'!M13+'Fin-Capital'!L13)/2)</f>
        <v>0.51255265598483102</v>
      </c>
    </row>
    <row r="20" spans="1:13" x14ac:dyDescent="0.2">
      <c r="A20" s="10" t="s">
        <v>190</v>
      </c>
      <c r="B20" s="3"/>
      <c r="C20" s="12">
        <f t="shared" ref="C20:M20" si="0">C18*C19</f>
        <v>0.1533465733435023</v>
      </c>
      <c r="D20" s="12">
        <f t="shared" si="0"/>
        <v>0.13077368291351066</v>
      </c>
      <c r="E20" s="12">
        <f t="shared" si="0"/>
        <v>0.12051192400479956</v>
      </c>
      <c r="F20" s="12">
        <f t="shared" si="0"/>
        <v>0.1470856664018699</v>
      </c>
      <c r="G20" s="12">
        <f t="shared" si="0"/>
        <v>0.1505118323573694</v>
      </c>
      <c r="H20" s="12">
        <f t="shared" si="0"/>
        <v>0.15172975631656946</v>
      </c>
      <c r="I20" s="12">
        <f t="shared" si="0"/>
        <v>0.15269276141646826</v>
      </c>
      <c r="J20" s="12">
        <f t="shared" si="0"/>
        <v>0.15321011673151747</v>
      </c>
      <c r="K20" s="12">
        <f t="shared" si="0"/>
        <v>0.15284815746878</v>
      </c>
      <c r="L20" s="12">
        <f t="shared" si="0"/>
        <v>0.15248441515548716</v>
      </c>
      <c r="M20" s="12">
        <f t="shared" si="0"/>
        <v>0.15248441515548722</v>
      </c>
    </row>
    <row r="21" spans="1:13" x14ac:dyDescent="0.2">
      <c r="A21" s="10" t="s">
        <v>191</v>
      </c>
    </row>
    <row r="22" spans="1:13" x14ac:dyDescent="0.2">
      <c r="A22" s="5" t="s">
        <v>192</v>
      </c>
      <c r="B22" s="38">
        <f>'Fin-Forecast'!B21/'Fin-Capital'!B13</f>
        <v>0.43588736685851032</v>
      </c>
      <c r="C22" s="38">
        <f>'Fin-Forecast'!C21/'Fin-Capital'!C13</f>
        <v>0.47725979665999219</v>
      </c>
      <c r="D22" s="38">
        <f>'Fin-Forecast'!D21/'Fin-Capital'!D13</f>
        <v>0.47891974869918669</v>
      </c>
      <c r="E22" s="38">
        <f>'Fin-Forecast'!E21/'Fin-Capital'!E13</f>
        <v>0.46517576224586843</v>
      </c>
      <c r="F22" s="38">
        <f>'Fin-Forecast'!F21/'Fin-Capital'!F13</f>
        <v>0.50709927398396537</v>
      </c>
      <c r="G22" s="38">
        <f>'Fin-Forecast'!G21/'Fin-Capital'!G13</f>
        <v>0.50508829691709067</v>
      </c>
      <c r="H22" s="38">
        <f>'Fin-Forecast'!H21/'Fin-Capital'!H13</f>
        <v>0.50508829691709067</v>
      </c>
      <c r="I22" s="38">
        <f>'Fin-Forecast'!I21/'Fin-Capital'!I13</f>
        <v>0.50508829691709067</v>
      </c>
      <c r="J22" s="38">
        <f>'Fin-Forecast'!J21/'Fin-Capital'!J13</f>
        <v>0.50508829691709078</v>
      </c>
      <c r="K22" s="38">
        <f>'Fin-Forecast'!K21/'Fin-Capital'!K13</f>
        <v>0.50508829691709067</v>
      </c>
      <c r="L22" s="38">
        <f>'Fin-Forecast'!L21/'Fin-Capital'!L13</f>
        <v>0.50508829691709078</v>
      </c>
      <c r="M22" s="38">
        <f>'Fin-Forecast'!M21/'Fin-Capital'!M13</f>
        <v>0.50508829691709078</v>
      </c>
    </row>
    <row r="23" spans="1:13" x14ac:dyDescent="0.2">
      <c r="A23" s="10" t="s">
        <v>193</v>
      </c>
      <c r="B23" s="12">
        <f t="shared" ref="B23:M23" si="1">B18*B22</f>
        <v>0.13020425764498836</v>
      </c>
      <c r="C23" s="12">
        <f t="shared" si="1"/>
        <v>0.15793867839412912</v>
      </c>
      <c r="D23" s="12">
        <f t="shared" si="1"/>
        <v>0.13551406277075534</v>
      </c>
      <c r="E23" s="12">
        <f t="shared" si="1"/>
        <v>0.11668823428545687</v>
      </c>
      <c r="F23" s="12">
        <f t="shared" si="1"/>
        <v>0.1473875416825158</v>
      </c>
      <c r="G23" s="12">
        <f t="shared" si="1"/>
        <v>0.14597051780903919</v>
      </c>
      <c r="H23" s="12">
        <f t="shared" si="1"/>
        <v>0.14811714307093682</v>
      </c>
      <c r="I23" s="12">
        <f t="shared" si="1"/>
        <v>0.14940511822807542</v>
      </c>
      <c r="J23" s="12">
        <f t="shared" si="1"/>
        <v>0.15026376833283447</v>
      </c>
      <c r="K23" s="12">
        <f t="shared" si="1"/>
        <v>0.15026376833283447</v>
      </c>
      <c r="L23" s="12">
        <f t="shared" si="1"/>
        <v>0.15026376833283447</v>
      </c>
      <c r="M23" s="12">
        <f t="shared" si="1"/>
        <v>0.1502637683328345</v>
      </c>
    </row>
    <row r="25" spans="1:13" x14ac:dyDescent="0.2">
      <c r="A25" s="4" t="s">
        <v>194</v>
      </c>
    </row>
    <row r="26" spans="1:13" x14ac:dyDescent="0.2">
      <c r="A26" s="5" t="s">
        <v>195</v>
      </c>
      <c r="B26" s="3"/>
      <c r="C26" s="12">
        <f t="shared" ref="C26:M26" si="2">C20</f>
        <v>0.1533465733435023</v>
      </c>
      <c r="D26" s="12">
        <f t="shared" si="2"/>
        <v>0.13077368291351066</v>
      </c>
      <c r="E26" s="12">
        <f t="shared" si="2"/>
        <v>0.12051192400479956</v>
      </c>
      <c r="F26" s="12">
        <f t="shared" si="2"/>
        <v>0.1470856664018699</v>
      </c>
      <c r="G26" s="12">
        <f t="shared" si="2"/>
        <v>0.1505118323573694</v>
      </c>
      <c r="H26" s="12">
        <f t="shared" si="2"/>
        <v>0.15172975631656946</v>
      </c>
      <c r="I26" s="12">
        <f t="shared" si="2"/>
        <v>0.15269276141646826</v>
      </c>
      <c r="J26" s="12">
        <f t="shared" si="2"/>
        <v>0.15321011673151747</v>
      </c>
      <c r="K26" s="12">
        <f t="shared" si="2"/>
        <v>0.15284815746878</v>
      </c>
      <c r="L26" s="12">
        <f t="shared" si="2"/>
        <v>0.15248441515548716</v>
      </c>
      <c r="M26" s="12">
        <f t="shared" si="2"/>
        <v>0.15248441515548722</v>
      </c>
    </row>
    <row r="27" spans="1:13" x14ac:dyDescent="0.2">
      <c r="A27" s="5" t="s">
        <v>88</v>
      </c>
      <c r="B27" s="39">
        <f>Drivers!D25</f>
        <v>7.5735999999999998E-2</v>
      </c>
      <c r="C27" s="39">
        <f>Drivers!D25</f>
        <v>7.5735999999999998E-2</v>
      </c>
      <c r="D27" s="39">
        <f>Drivers!D25</f>
        <v>7.5735999999999998E-2</v>
      </c>
      <c r="E27" s="39">
        <f>Drivers!D25</f>
        <v>7.5735999999999998E-2</v>
      </c>
      <c r="F27" s="39">
        <f>Drivers!D25</f>
        <v>7.5735999999999998E-2</v>
      </c>
      <c r="G27" s="39">
        <f>Drivers!D25</f>
        <v>7.5735999999999998E-2</v>
      </c>
      <c r="H27" s="39">
        <f>Drivers!D25</f>
        <v>7.5735999999999998E-2</v>
      </c>
      <c r="I27" s="39">
        <f>Drivers!D25</f>
        <v>7.5735999999999998E-2</v>
      </c>
      <c r="J27" s="39">
        <f>Drivers!D25</f>
        <v>7.5735999999999998E-2</v>
      </c>
      <c r="K27" s="39">
        <f>Drivers!D25</f>
        <v>7.5735999999999998E-2</v>
      </c>
      <c r="L27" s="39">
        <f>Drivers!D25</f>
        <v>7.5735999999999998E-2</v>
      </c>
      <c r="M27" s="39">
        <f>Drivers!D25</f>
        <v>7.5735999999999998E-2</v>
      </c>
    </row>
    <row r="28" spans="1:13" x14ac:dyDescent="0.2">
      <c r="A28" s="10" t="s">
        <v>196</v>
      </c>
      <c r="B28" s="3"/>
      <c r="C28" s="12">
        <f t="shared" ref="C28:M28" si="3">C20-C27</f>
        <v>7.7610573343502298E-2</v>
      </c>
      <c r="D28" s="12">
        <f t="shared" si="3"/>
        <v>5.503768291351066E-2</v>
      </c>
      <c r="E28" s="12">
        <f t="shared" si="3"/>
        <v>4.4775924004799558E-2</v>
      </c>
      <c r="F28" s="12">
        <f t="shared" si="3"/>
        <v>7.1349666401869904E-2</v>
      </c>
      <c r="G28" s="12">
        <f t="shared" si="3"/>
        <v>7.4775832357369398E-2</v>
      </c>
      <c r="H28" s="12">
        <f t="shared" si="3"/>
        <v>7.5993756316569461E-2</v>
      </c>
      <c r="I28" s="12">
        <f t="shared" si="3"/>
        <v>7.6956761416468261E-2</v>
      </c>
      <c r="J28" s="12">
        <f t="shared" si="3"/>
        <v>7.7474116731517467E-2</v>
      </c>
      <c r="K28" s="12">
        <f t="shared" si="3"/>
        <v>7.7112157468780002E-2</v>
      </c>
      <c r="L28" s="12">
        <f t="shared" si="3"/>
        <v>7.6748415155487165E-2</v>
      </c>
      <c r="M28" s="12">
        <f t="shared" si="3"/>
        <v>7.6748415155487221E-2</v>
      </c>
    </row>
    <row r="30" spans="1:13" x14ac:dyDescent="0.2">
      <c r="A30" s="4" t="s">
        <v>197</v>
      </c>
    </row>
    <row r="31" spans="1:13" x14ac:dyDescent="0.2">
      <c r="A31" s="10" t="s">
        <v>198</v>
      </c>
    </row>
    <row r="32" spans="1:13" x14ac:dyDescent="0.2">
      <c r="A32" s="5" t="s">
        <v>199</v>
      </c>
      <c r="B32" s="12">
        <f>'Fin-Forecast'!B25/'Fin-Forecast'!B21</f>
        <v>0.35142445326262967</v>
      </c>
      <c r="C32" s="12">
        <f>'Fin-Forecast'!C25/'Fin-Forecast'!C21</f>
        <v>0.38932717814448614</v>
      </c>
      <c r="D32" s="12">
        <f>'Fin-Forecast'!D25/'Fin-Forecast'!D21</f>
        <v>0.33289149085017855</v>
      </c>
      <c r="E32" s="12">
        <f>'Fin-Forecast'!E25/'Fin-Forecast'!E21</f>
        <v>0.29511485071182592</v>
      </c>
      <c r="F32" s="12">
        <f>'Fin-Forecast'!F25/'Fin-Forecast'!F21</f>
        <v>0.3419391759319817</v>
      </c>
      <c r="G32" s="12">
        <f>'Fin-Forecast'!G25/'Fin-Forecast'!G21</f>
        <v>0.34</v>
      </c>
      <c r="H32" s="12">
        <f>'Fin-Forecast'!H25/'Fin-Forecast'!H21</f>
        <v>0.34499999999999997</v>
      </c>
      <c r="I32" s="12">
        <f>'Fin-Forecast'!I25/'Fin-Forecast'!I21</f>
        <v>0.34799999999999998</v>
      </c>
      <c r="J32" s="12">
        <f>'Fin-Forecast'!J25/'Fin-Forecast'!J21</f>
        <v>0.35</v>
      </c>
      <c r="K32" s="12">
        <f>'Fin-Forecast'!K25/'Fin-Forecast'!K21</f>
        <v>0.35</v>
      </c>
      <c r="L32" s="12">
        <f>'Fin-Forecast'!L25/'Fin-Forecast'!L21</f>
        <v>0.35</v>
      </c>
      <c r="M32" s="12">
        <f>'Fin-Forecast'!M25/'Fin-Forecast'!M21</f>
        <v>0.35</v>
      </c>
    </row>
    <row r="33" spans="1:13" x14ac:dyDescent="0.2">
      <c r="A33" s="5" t="s">
        <v>200</v>
      </c>
      <c r="B33" s="3"/>
      <c r="C33" s="38">
        <f>'Fin-Forecast'!C21/(('Fin-Capital'!C15+'Fin-Capital'!B15)/2)</f>
        <v>0.4069196100009112</v>
      </c>
      <c r="D33" s="38">
        <f>'Fin-Forecast'!D21/(('Fin-Capital'!D15+'Fin-Capital'!C15)/2)</f>
        <v>0.39718334576405034</v>
      </c>
      <c r="E33" s="38">
        <f>'Fin-Forecast'!E21/(('Fin-Capital'!E15+'Fin-Capital'!D15)/2)</f>
        <v>0.41748680856109566</v>
      </c>
      <c r="F33" s="38">
        <f>'Fin-Forecast'!F21/(('Fin-Capital'!F15+'Fin-Capital'!E15)/2)</f>
        <v>0.45451674154005078</v>
      </c>
      <c r="G33" s="38">
        <f>'Fin-Forecast'!G21/(('Fin-Capital'!G15+'Fin-Capital'!F15)/2)</f>
        <v>0.46411450183441133</v>
      </c>
      <c r="H33" s="38">
        <f>'Fin-Forecast'!H21/(('Fin-Capital'!H15+'Fin-Capital'!G15)/2)</f>
        <v>0.45712043762325522</v>
      </c>
      <c r="I33" s="38">
        <f>'Fin-Forecast'!I21/(('Fin-Capital'!I15+'Fin-Capital'!H15)/2)</f>
        <v>0.45678634703813331</v>
      </c>
      <c r="J33" s="38">
        <f>'Fin-Forecast'!J21/(('Fin-Capital'!J15+'Fin-Capital'!I15)/2)</f>
        <v>0.45634222737355412</v>
      </c>
      <c r="K33" s="38">
        <f>'Fin-Forecast'!K21/(('Fin-Capital'!K15+'Fin-Capital'!J15)/2)</f>
        <v>0.4557976787845649</v>
      </c>
      <c r="L33" s="38">
        <f>'Fin-Forecast'!L21/(('Fin-Capital'!L15+'Fin-Capital'!K15)/2)</f>
        <v>0.4551607623996069</v>
      </c>
      <c r="M33" s="38">
        <f>'Fin-Forecast'!M21/(('Fin-Capital'!M15+'Fin-Capital'!L15)/2)</f>
        <v>0.45556333641818797</v>
      </c>
    </row>
    <row r="34" spans="1:13" x14ac:dyDescent="0.2">
      <c r="A34" s="5" t="s">
        <v>201</v>
      </c>
      <c r="B34" s="12">
        <f>'Fin-Forecast'!B30/'Fin-Forecast'!B25</f>
        <v>0.87599372120107344</v>
      </c>
      <c r="C34" s="12">
        <f>'Fin-Forecast'!C30/'Fin-Forecast'!C25</f>
        <v>0.89620387576320681</v>
      </c>
      <c r="D34" s="12">
        <f>'Fin-Forecast'!D30/'Fin-Forecast'!D25</f>
        <v>0.86948346421855993</v>
      </c>
      <c r="E34" s="12">
        <f>'Fin-Forecast'!E30/'Fin-Forecast'!E25</f>
        <v>0.82231578947368422</v>
      </c>
      <c r="F34" s="12">
        <f>'Fin-Forecast'!F30/'Fin-Forecast'!F25</f>
        <v>0.85372734662650029</v>
      </c>
      <c r="G34" s="12">
        <f>'Fin-Forecast'!G30/'Fin-Forecast'!G25</f>
        <v>0.86244232844982216</v>
      </c>
      <c r="H34" s="12">
        <f>'Fin-Forecast'!H30/'Fin-Forecast'!H25</f>
        <v>0.87472366161703452</v>
      </c>
      <c r="I34" s="12">
        <f>'Fin-Forecast'!I30/'Fin-Forecast'!I25</f>
        <v>0.88478746806567621</v>
      </c>
      <c r="J34" s="12">
        <f>'Fin-Forecast'!J30/'Fin-Forecast'!J25</f>
        <v>0.89332761453191722</v>
      </c>
      <c r="K34" s="12">
        <f>'Fin-Forecast'!K30/'Fin-Forecast'!K25</f>
        <v>0.90029321147842134</v>
      </c>
      <c r="L34" s="12">
        <f>'Fin-Forecast'!L30/'Fin-Forecast'!L25</f>
        <v>0.90645779581484442</v>
      </c>
      <c r="M34" s="12">
        <f>'Fin-Forecast'!M30/'Fin-Forecast'!M25</f>
        <v>0.9123478630409636</v>
      </c>
    </row>
    <row r="35" spans="1:13" x14ac:dyDescent="0.2">
      <c r="A35" s="5" t="s">
        <v>202</v>
      </c>
      <c r="B35" s="12">
        <f>'Fin-Forecast'!B32/'Fin-Forecast'!B30</f>
        <v>0.66289017341040457</v>
      </c>
      <c r="C35" s="12">
        <f>'Fin-Forecast'!C32/'Fin-Forecast'!C30</f>
        <v>0.58165481832543442</v>
      </c>
      <c r="D35" s="12">
        <f>'Fin-Forecast'!D32/'Fin-Forecast'!D30</f>
        <v>0.30657677140312939</v>
      </c>
      <c r="E35" s="12">
        <f>'Fin-Forecast'!E32/'Fin-Forecast'!E30</f>
        <v>0.30999926852461412</v>
      </c>
      <c r="F35" s="12">
        <f>'Fin-Forecast'!F32/'Fin-Forecast'!F30</f>
        <v>0.23445726447854823</v>
      </c>
      <c r="G35" s="12">
        <f>'Fin-Forecast'!G32/'Fin-Forecast'!G30</f>
        <v>0.85</v>
      </c>
      <c r="H35" s="12">
        <f>'Fin-Forecast'!H32/'Fin-Forecast'!H30</f>
        <v>0.85000000000000009</v>
      </c>
      <c r="I35" s="12">
        <f>'Fin-Forecast'!I32/'Fin-Forecast'!I30</f>
        <v>0.84999999999999987</v>
      </c>
      <c r="J35" s="12">
        <f>'Fin-Forecast'!J32/'Fin-Forecast'!J30</f>
        <v>0.85</v>
      </c>
      <c r="K35" s="12">
        <f>'Fin-Forecast'!K32/'Fin-Forecast'!K30</f>
        <v>0.85</v>
      </c>
      <c r="L35" s="12">
        <f>'Fin-Forecast'!L32/'Fin-Forecast'!L30</f>
        <v>0.85000000000000009</v>
      </c>
      <c r="M35" s="12">
        <f>'Fin-Forecast'!M32/'Fin-Forecast'!M30</f>
        <v>0.85000000000000009</v>
      </c>
    </row>
    <row r="36" spans="1:13" x14ac:dyDescent="0.2">
      <c r="A36" s="5" t="s">
        <v>203</v>
      </c>
      <c r="B36" s="3"/>
      <c r="C36" s="12">
        <f t="shared" ref="C36:M36" si="4">C32*C33*C34*C35</f>
        <v>8.2583919196450459E-2</v>
      </c>
      <c r="D36" s="12">
        <f t="shared" si="4"/>
        <v>3.5244738881820441E-2</v>
      </c>
      <c r="E36" s="12">
        <f t="shared" si="4"/>
        <v>3.1407482065571833E-2</v>
      </c>
      <c r="F36" s="12">
        <f t="shared" si="4"/>
        <v>3.1108683454654229E-2</v>
      </c>
      <c r="G36" s="12">
        <f t="shared" si="4"/>
        <v>0.11567860558089631</v>
      </c>
      <c r="H36" s="12">
        <f t="shared" si="4"/>
        <v>0.1172572039741034</v>
      </c>
      <c r="I36" s="12">
        <f t="shared" si="4"/>
        <v>0.11955018352399181</v>
      </c>
      <c r="J36" s="12">
        <f t="shared" si="4"/>
        <v>0.12127977623346516</v>
      </c>
      <c r="K36" s="12">
        <f t="shared" si="4"/>
        <v>0.12207958791516632</v>
      </c>
      <c r="L36" s="12">
        <f t="shared" si="4"/>
        <v>0.12274374637428016</v>
      </c>
      <c r="M36" s="12">
        <f t="shared" si="4"/>
        <v>0.12365059034713125</v>
      </c>
    </row>
    <row r="37" spans="1:13" x14ac:dyDescent="0.2">
      <c r="A37" s="5" t="s">
        <v>204</v>
      </c>
      <c r="B37" s="3"/>
      <c r="C37" s="38">
        <f>(('Fin-Capital'!C15+'Fin-Capital'!B15)/2)/(('Fin-Capital'!C20+'Fin-Capital'!B20)/2)</f>
        <v>8.7359622803257615</v>
      </c>
      <c r="D37" s="38">
        <f>(('Fin-Capital'!D15+'Fin-Capital'!C15)/2)/(('Fin-Capital'!D20+'Fin-Capital'!C20)/2)</f>
        <v>9.904975736945028</v>
      </c>
      <c r="E37" s="38">
        <f>(('Fin-Capital'!E15+'Fin-Capital'!D15)/2)/(('Fin-Capital'!E20+'Fin-Capital'!D20)/2)</f>
        <v>19.720277676287907</v>
      </c>
      <c r="F37" s="38">
        <f>(('Fin-Capital'!F15+'Fin-Capital'!E15)/2)/(('Fin-Capital'!F20+'Fin-Capital'!E20)/2)</f>
        <v>4893.1090909090908</v>
      </c>
      <c r="G37" s="38">
        <f>(('Fin-Capital'!G15+'Fin-Capital'!F15)/2)/(('Fin-Capital'!G20+'Fin-Capital'!F20)/2)</f>
        <v>-57.962319623358674</v>
      </c>
      <c r="H37" s="38">
        <f>(('Fin-Capital'!H15+'Fin-Capital'!G15)/2)/(('Fin-Capital'!H20+'Fin-Capital'!G20)/2)</f>
        <v>-422.88659617290216</v>
      </c>
      <c r="I37" s="38">
        <f>(('Fin-Capital'!I15+'Fin-Capital'!H15)/2)/(('Fin-Capital'!I20+'Fin-Capital'!H20)/2)</f>
        <v>67.957511299866425</v>
      </c>
      <c r="J37" s="38">
        <f>(('Fin-Capital'!J15+'Fin-Capital'!I15)/2)/(('Fin-Capital'!J20+'Fin-Capital'!I20)/2)</f>
        <v>30.247197704511297</v>
      </c>
      <c r="K37" s="38">
        <f>(('Fin-Capital'!K15+'Fin-Capital'!J15)/2)/(('Fin-Capital'!K20+'Fin-Capital'!J20)/2)</f>
        <v>19.385589174565368</v>
      </c>
      <c r="L37" s="38">
        <f>(('Fin-Capital'!L15+'Fin-Capital'!K15)/2)/(('Fin-Capital'!L20+'Fin-Capital'!K20)/2)</f>
        <v>14.406425526657481</v>
      </c>
      <c r="M37" s="38">
        <f>(('Fin-Capital'!M15+'Fin-Capital'!L15)/2)/(('Fin-Capital'!M20+'Fin-Capital'!L20)/2)</f>
        <v>11.606615442740713</v>
      </c>
    </row>
    <row r="38" spans="1:13" x14ac:dyDescent="0.2">
      <c r="A38" s="10" t="s">
        <v>205</v>
      </c>
      <c r="B38" s="3"/>
      <c r="C38" s="12">
        <f t="shared" ref="C38:M38" si="5">C36*C37</f>
        <v>0.72145000306166174</v>
      </c>
      <c r="D38" s="12">
        <f t="shared" si="5"/>
        <v>0.34909828347939448</v>
      </c>
      <c r="E38" s="12">
        <f t="shared" si="5"/>
        <v>0.61936426744610906</v>
      </c>
      <c r="F38" s="12">
        <f t="shared" si="5"/>
        <v>152.21818181818182</v>
      </c>
      <c r="G38" s="12">
        <f t="shared" si="5"/>
        <v>-6.7050003102643538</v>
      </c>
      <c r="H38" s="12">
        <f t="shared" si="5"/>
        <v>-49.586499865360281</v>
      </c>
      <c r="I38" s="12">
        <f t="shared" si="5"/>
        <v>8.1243329477327784</v>
      </c>
      <c r="J38" s="12">
        <f t="shared" si="5"/>
        <v>3.6683733692925111</v>
      </c>
      <c r="K38" s="12">
        <f t="shared" si="5"/>
        <v>2.3665847379236493</v>
      </c>
      <c r="L38" s="12">
        <f t="shared" si="5"/>
        <v>1.7682986410040014</v>
      </c>
      <c r="M38" s="12">
        <f t="shared" si="5"/>
        <v>1.4351648514270192</v>
      </c>
    </row>
    <row r="40" spans="1:13" x14ac:dyDescent="0.2">
      <c r="A40" s="4" t="s">
        <v>206</v>
      </c>
    </row>
    <row r="41" spans="1:13" x14ac:dyDescent="0.2">
      <c r="A41" s="5" t="s">
        <v>207</v>
      </c>
      <c r="B41" s="12">
        <f>'Fin-Forecast'!B36*'Fin-Forecast'!B34/'Fin-Forecast'!B32</f>
        <v>0.80575514475061039</v>
      </c>
      <c r="C41" s="12">
        <f>'Fin-Forecast'!C36*'Fin-Forecast'!C34/'Fin-Forecast'!C32</f>
        <v>0.85112205058563917</v>
      </c>
      <c r="D41" s="12">
        <f>'Fin-Forecast'!D36*'Fin-Forecast'!D34/'Fin-Forecast'!D32</f>
        <v>2.1776265560165973</v>
      </c>
      <c r="E41" s="12">
        <f>'Fin-Forecast'!E36*'Fin-Forecast'!E34/'Fin-Forecast'!E32</f>
        <v>2.63147003303445</v>
      </c>
      <c r="F41" s="12">
        <f>'Fin-Forecast'!F36*'Fin-Forecast'!F34/'Fin-Forecast'!F32</f>
        <v>2.8166387959866221</v>
      </c>
      <c r="G41" s="12">
        <f>'Fin-Forecast'!G36*'Fin-Forecast'!G34/'Fin-Forecast'!G32</f>
        <v>0.7697706942741035</v>
      </c>
      <c r="H41" s="12">
        <f>'Fin-Forecast'!H36*'Fin-Forecast'!H34/'Fin-Forecast'!H32</f>
        <v>0.74827425274267589</v>
      </c>
      <c r="I41" s="12">
        <f>'Fin-Forecast'!I36*'Fin-Forecast'!I34/'Fin-Forecast'!I32</f>
        <v>0.73723595210204051</v>
      </c>
      <c r="J41" s="12">
        <f>'Fin-Forecast'!J36*'Fin-Forecast'!J34/'Fin-Forecast'!J32</f>
        <v>0.73326848672565625</v>
      </c>
      <c r="K41" s="12">
        <f>'Fin-Forecast'!K36*'Fin-Forecast'!K34/'Fin-Forecast'!K32</f>
        <v>0.73826072885735006</v>
      </c>
      <c r="L41" s="12">
        <f>'Fin-Forecast'!L36*'Fin-Forecast'!L34/'Fin-Forecast'!L32</f>
        <v>0.74818521135342275</v>
      </c>
      <c r="M41" s="12">
        <f>'Fin-Forecast'!M36*'Fin-Forecast'!M34/'Fin-Forecast'!M32</f>
        <v>0.75891259219485274</v>
      </c>
    </row>
    <row r="42" spans="1:13" x14ac:dyDescent="0.2">
      <c r="A42" s="5" t="s">
        <v>208</v>
      </c>
      <c r="B42" s="12">
        <f t="shared" ref="B42:M42" si="6">1-B41</f>
        <v>0.19424485524938961</v>
      </c>
      <c r="C42" s="12">
        <f t="shared" si="6"/>
        <v>0.14887794941436083</v>
      </c>
      <c r="D42" s="12">
        <f t="shared" si="6"/>
        <v>-1.1776265560165973</v>
      </c>
      <c r="E42" s="12">
        <f t="shared" si="6"/>
        <v>-1.63147003303445</v>
      </c>
      <c r="F42" s="12">
        <f t="shared" si="6"/>
        <v>-1.8166387959866221</v>
      </c>
      <c r="G42" s="12">
        <f t="shared" si="6"/>
        <v>0.2302293057258965</v>
      </c>
      <c r="H42" s="12">
        <f t="shared" si="6"/>
        <v>0.25172574725732411</v>
      </c>
      <c r="I42" s="12">
        <f t="shared" si="6"/>
        <v>0.26276404789795949</v>
      </c>
      <c r="J42" s="12">
        <f t="shared" si="6"/>
        <v>0.26673151327434375</v>
      </c>
      <c r="K42" s="12">
        <f t="shared" si="6"/>
        <v>0.26173927114264994</v>
      </c>
      <c r="L42" s="12">
        <f t="shared" si="6"/>
        <v>0.25181478864657725</v>
      </c>
      <c r="M42" s="12">
        <f t="shared" si="6"/>
        <v>0.24108740780514726</v>
      </c>
    </row>
    <row r="43" spans="1:13" x14ac:dyDescent="0.2">
      <c r="A43" s="10" t="s">
        <v>209</v>
      </c>
      <c r="B43" s="3"/>
      <c r="C43" s="12">
        <f t="shared" ref="C43:M43" si="7">C38*C42</f>
        <v>0.10740799706080455</v>
      </c>
      <c r="D43" s="12">
        <f t="shared" si="7"/>
        <v>-0.41110740928514511</v>
      </c>
      <c r="E43" s="12">
        <f t="shared" si="7"/>
        <v>-1.0104742418706616</v>
      </c>
      <c r="F43" s="12">
        <f t="shared" si="7"/>
        <v>-276.52545454545458</v>
      </c>
      <c r="G43" s="12">
        <f t="shared" si="7"/>
        <v>-1.5436875663240828</v>
      </c>
      <c r="H43" s="12">
        <f t="shared" si="7"/>
        <v>-12.482198732483019</v>
      </c>
      <c r="I43" s="12">
        <f t="shared" si="7"/>
        <v>2.1347826118170263</v>
      </c>
      <c r="J43" s="12">
        <f t="shared" si="7"/>
        <v>0.97847078004669452</v>
      </c>
      <c r="K43" s="12">
        <f t="shared" si="7"/>
        <v>0.61942816440145521</v>
      </c>
      <c r="L43" s="12">
        <f t="shared" si="7"/>
        <v>0.44528374854845237</v>
      </c>
      <c r="M43" s="12">
        <f t="shared" si="7"/>
        <v>0.34600017380359938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25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0" customWidth="1"/>
    <col min="2" max="13" width="12" customWidth="1"/>
  </cols>
  <sheetData>
    <row r="1" spans="1:13" ht="16" x14ac:dyDescent="0.2">
      <c r="A1" s="7" t="s">
        <v>210</v>
      </c>
    </row>
    <row r="2" spans="1:13" x14ac:dyDescent="0.2">
      <c r="A2" s="6" t="s">
        <v>211</v>
      </c>
    </row>
    <row r="4" spans="1:13" x14ac:dyDescent="0.2">
      <c r="A4" s="13" t="s">
        <v>59</v>
      </c>
      <c r="B4" s="14" t="s">
        <v>113</v>
      </c>
      <c r="C4" s="14" t="s">
        <v>114</v>
      </c>
      <c r="D4" s="14" t="s">
        <v>115</v>
      </c>
      <c r="E4" s="14" t="s">
        <v>60</v>
      </c>
      <c r="F4" s="14" t="s">
        <v>61</v>
      </c>
      <c r="G4" s="26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26" t="s">
        <v>67</v>
      </c>
      <c r="M4" s="26" t="s">
        <v>68</v>
      </c>
    </row>
    <row r="5" spans="1:13" x14ac:dyDescent="0.2">
      <c r="A5" s="4" t="s">
        <v>212</v>
      </c>
    </row>
    <row r="6" spans="1:13" x14ac:dyDescent="0.2">
      <c r="A6" s="5" t="s">
        <v>121</v>
      </c>
      <c r="B6" s="27">
        <f>'Fin-Forecast'!B33</f>
        <v>16786.649999999998</v>
      </c>
      <c r="C6" s="27">
        <f>'Fin-Forecast'!C33</f>
        <v>19211.7</v>
      </c>
      <c r="D6" s="27">
        <f>'Fin-Forecast'!D33</f>
        <v>15369.699999999999</v>
      </c>
      <c r="E6" s="27">
        <f>'Fin-Forecast'!E33</f>
        <v>14131.25</v>
      </c>
      <c r="F6" s="27">
        <f>'Fin-Forecast'!F33</f>
        <v>17776.05</v>
      </c>
      <c r="G6" s="27">
        <f>'Fin-Forecast'!G33</f>
        <v>18735.754400000002</v>
      </c>
      <c r="H6" s="27">
        <f>'Fin-Forecast'!H33</f>
        <v>19961.844209999999</v>
      </c>
      <c r="I6" s="27">
        <f>'Fin-Forecast'!I33</f>
        <v>21041.519609879997</v>
      </c>
      <c r="J6" s="27">
        <f>'Fin-Forecast'!J33</f>
        <v>22008.945798839995</v>
      </c>
      <c r="K6" s="27">
        <f>'Fin-Forecast'!K33</f>
        <v>22779.258901799396</v>
      </c>
      <c r="L6" s="27">
        <f>'Fin-Forecast'!L33</f>
        <v>23462.636668853374</v>
      </c>
      <c r="M6" s="27">
        <f>'Fin-Forecast'!M33</f>
        <v>24166.51576891898</v>
      </c>
    </row>
    <row r="7" spans="1:13" x14ac:dyDescent="0.2">
      <c r="A7" s="5" t="s">
        <v>213</v>
      </c>
      <c r="B7" s="27">
        <f>'Fin-Capital'!B11</f>
        <v>4859.2554794521002</v>
      </c>
      <c r="C7" s="27">
        <f>'Fin-Capital'!C11</f>
        <v>6054.7904109588999</v>
      </c>
      <c r="D7" s="27">
        <f>'Fin-Capital'!D11</f>
        <v>6515.7630136985972</v>
      </c>
      <c r="E7" s="27">
        <f>'Fin-Capital'!E11</f>
        <v>6759.1821917807974</v>
      </c>
      <c r="F7" s="27">
        <f>'Fin-Capital'!F11</f>
        <v>8188.849315068499</v>
      </c>
      <c r="G7" s="27">
        <f>'Fin-Capital'!G11</f>
        <v>8298.1888000000017</v>
      </c>
      <c r="H7" s="27">
        <f>'Fin-Capital'!H11</f>
        <v>8713.0982400000012</v>
      </c>
      <c r="I7" s="27">
        <f>'Fin-Capital'!I11</f>
        <v>9105.1876607999984</v>
      </c>
      <c r="J7" s="27">
        <f>'Fin-Capital'!J11</f>
        <v>9469.3951672320018</v>
      </c>
      <c r="K7" s="27">
        <f>'Fin-Capital'!K11</f>
        <v>9800.8239980851213</v>
      </c>
      <c r="L7" s="27">
        <f>'Fin-Capital'!L11</f>
        <v>10094.848718027672</v>
      </c>
      <c r="M7" s="27">
        <f>'Fin-Capital'!M11</f>
        <v>10397.694179568503</v>
      </c>
    </row>
    <row r="8" spans="1:13" x14ac:dyDescent="0.2">
      <c r="A8" s="5" t="s">
        <v>214</v>
      </c>
      <c r="B8" s="27">
        <f>'Fin-Capital'!B12</f>
        <v>124066.252054795</v>
      </c>
      <c r="C8" s="27">
        <f>'Fin-Capital'!C12</f>
        <v>115585.45753424701</v>
      </c>
      <c r="D8" s="27">
        <f>'Fin-Capital'!D12</f>
        <v>106901.98630136999</v>
      </c>
      <c r="E8" s="27">
        <f>'Fin-Capital'!E12</f>
        <v>114343.430136986</v>
      </c>
      <c r="F8" s="27">
        <f>'Fin-Capital'!F12</f>
        <v>112418.69863013701</v>
      </c>
      <c r="G8" s="27">
        <f>'Fin-Capital'!G12</f>
        <v>120054.81481481482</v>
      </c>
      <c r="H8" s="27">
        <f>'Fin-Capital'!H12</f>
        <v>126057.55555555555</v>
      </c>
      <c r="I8" s="27">
        <f>'Fin-Capital'!I12</f>
        <v>131730.14555555553</v>
      </c>
      <c r="J8" s="27">
        <f>'Fin-Capital'!J12</f>
        <v>136999.35137777776</v>
      </c>
      <c r="K8" s="27">
        <f>'Fin-Capital'!K12</f>
        <v>141794.32867599998</v>
      </c>
      <c r="L8" s="27">
        <f>'Fin-Capital'!L12</f>
        <v>146048.15853627995</v>
      </c>
      <c r="M8" s="27">
        <f>'Fin-Capital'!M12</f>
        <v>150429.60329236838</v>
      </c>
    </row>
    <row r="9" spans="1:13" x14ac:dyDescent="0.2">
      <c r="A9" s="5" t="s">
        <v>215</v>
      </c>
      <c r="B9" s="3"/>
      <c r="C9" s="33">
        <f t="shared" ref="C9:M9" si="0">C7-B7</f>
        <v>1195.5349315067997</v>
      </c>
      <c r="D9" s="33">
        <f t="shared" si="0"/>
        <v>460.97260273969732</v>
      </c>
      <c r="E9" s="33">
        <f t="shared" si="0"/>
        <v>243.41917808220023</v>
      </c>
      <c r="F9" s="33">
        <f t="shared" si="0"/>
        <v>1429.6671232877015</v>
      </c>
      <c r="G9" s="33">
        <f t="shared" si="0"/>
        <v>109.33948493150274</v>
      </c>
      <c r="H9" s="33">
        <f t="shared" si="0"/>
        <v>414.90943999999945</v>
      </c>
      <c r="I9" s="33">
        <f t="shared" si="0"/>
        <v>392.08942079999724</v>
      </c>
      <c r="J9" s="33">
        <f t="shared" si="0"/>
        <v>364.20750643200336</v>
      </c>
      <c r="K9" s="33">
        <f t="shared" si="0"/>
        <v>331.42883085311951</v>
      </c>
      <c r="L9" s="33">
        <f t="shared" si="0"/>
        <v>294.02471994255029</v>
      </c>
      <c r="M9" s="33">
        <f t="shared" si="0"/>
        <v>302.84546154083182</v>
      </c>
    </row>
    <row r="10" spans="1:13" x14ac:dyDescent="0.2">
      <c r="A10" s="5" t="s">
        <v>216</v>
      </c>
      <c r="B10" s="3"/>
      <c r="C10" s="33">
        <f t="shared" ref="C10:M10" si="1">C8-B8</f>
        <v>-8480.7945205479919</v>
      </c>
      <c r="D10" s="33">
        <f t="shared" si="1"/>
        <v>-8683.4712328770111</v>
      </c>
      <c r="E10" s="33">
        <f t="shared" si="1"/>
        <v>7441.4438356160099</v>
      </c>
      <c r="F10" s="33">
        <f t="shared" si="1"/>
        <v>-1924.7315068489988</v>
      </c>
      <c r="G10" s="33">
        <f t="shared" si="1"/>
        <v>7636.1161846778123</v>
      </c>
      <c r="H10" s="33">
        <f t="shared" si="1"/>
        <v>6002.74074074073</v>
      </c>
      <c r="I10" s="33">
        <f t="shared" si="1"/>
        <v>5672.589999999982</v>
      </c>
      <c r="J10" s="33">
        <f t="shared" si="1"/>
        <v>5269.2058222222258</v>
      </c>
      <c r="K10" s="33">
        <f t="shared" si="1"/>
        <v>4794.9772982222203</v>
      </c>
      <c r="L10" s="33">
        <f t="shared" si="1"/>
        <v>4253.8298602799769</v>
      </c>
      <c r="M10" s="33">
        <f t="shared" si="1"/>
        <v>4381.4447560884291</v>
      </c>
    </row>
    <row r="11" spans="1:13" x14ac:dyDescent="0.2">
      <c r="A11" s="10" t="s">
        <v>217</v>
      </c>
      <c r="B11" s="3"/>
      <c r="C11" s="33">
        <f t="shared" ref="C11:M11" si="2">C6-C9-C10</f>
        <v>26496.959589041195</v>
      </c>
      <c r="D11" s="33">
        <f t="shared" si="2"/>
        <v>23592.198630137311</v>
      </c>
      <c r="E11" s="33">
        <f t="shared" si="2"/>
        <v>6446.3869863017899</v>
      </c>
      <c r="F11" s="33">
        <f t="shared" si="2"/>
        <v>18271.114383561297</v>
      </c>
      <c r="G11" s="33">
        <f t="shared" si="2"/>
        <v>10990.298730390685</v>
      </c>
      <c r="H11" s="33">
        <f t="shared" si="2"/>
        <v>13544.19402925927</v>
      </c>
      <c r="I11" s="33">
        <f t="shared" si="2"/>
        <v>14976.840189080016</v>
      </c>
      <c r="J11" s="33">
        <f t="shared" si="2"/>
        <v>16375.532470185768</v>
      </c>
      <c r="K11" s="33">
        <f t="shared" si="2"/>
        <v>17652.852772724058</v>
      </c>
      <c r="L11" s="33">
        <f t="shared" si="2"/>
        <v>18914.782088630847</v>
      </c>
      <c r="M11" s="33">
        <f t="shared" si="2"/>
        <v>19482.225551289717</v>
      </c>
    </row>
    <row r="12" spans="1:13" x14ac:dyDescent="0.2">
      <c r="A12" s="3" t="s">
        <v>218</v>
      </c>
      <c r="B12" s="3"/>
      <c r="C12" s="40">
        <f>C11/'Fin-Forecast'!C34</f>
        <v>14.902676934218894</v>
      </c>
      <c r="D12" s="40">
        <f>D11/'Fin-Forecast'!D34</f>
        <v>13.306372605830406</v>
      </c>
      <c r="E12" s="40">
        <f>E11/'Fin-Forecast'!E34</f>
        <v>3.6358640644680147</v>
      </c>
      <c r="F12" s="40">
        <f>F11/'Fin-Forecast'!F34</f>
        <v>10.305197057846192</v>
      </c>
      <c r="G12" s="40">
        <f>G11/'Fin-Forecast'!G34</f>
        <v>6.2292533280511035</v>
      </c>
      <c r="H12" s="40">
        <f>H11/'Fin-Forecast'!H34</f>
        <v>7.7124749053897803</v>
      </c>
      <c r="I12" s="40">
        <f>I11/'Fin-Forecast'!I34</f>
        <v>8.5657872307733296</v>
      </c>
      <c r="J12" s="40">
        <f>J11/'Fin-Forecast'!J34</f>
        <v>9.4048689063815996</v>
      </c>
      <c r="K12" s="40">
        <f>K11/'Fin-Forecast'!K34</f>
        <v>10.17878191788666</v>
      </c>
      <c r="L12" s="40">
        <f>L11/'Fin-Forecast'!L34</f>
        <v>10.947814977312174</v>
      </c>
      <c r="M12" s="40">
        <f>M11/'Fin-Forecast'!M34</f>
        <v>11.317189130590423</v>
      </c>
    </row>
    <row r="13" spans="1:13" x14ac:dyDescent="0.2">
      <c r="A13" s="5" t="s">
        <v>219</v>
      </c>
      <c r="B13" s="33">
        <f>'Fin-Forecast'!B29*(1-0.15)</f>
        <v>2081.65</v>
      </c>
      <c r="C13" s="33">
        <f>'Fin-Forecast'!C29*(1-0.15)</f>
        <v>1994.1</v>
      </c>
      <c r="D13" s="33">
        <f>'Fin-Forecast'!D29*(1-0.15)</f>
        <v>2006</v>
      </c>
      <c r="E13" s="33">
        <f>'Fin-Forecast'!E29*(1-0.15)</f>
        <v>2510.9</v>
      </c>
      <c r="F13" s="33">
        <f>'Fin-Forecast'!F29*(1-0.15)</f>
        <v>2600.15</v>
      </c>
      <c r="G13" s="33">
        <f>'Fin-Forecast'!G29*(1-0.15)</f>
        <v>2577.2467499999998</v>
      </c>
      <c r="H13" s="33">
        <f>'Fin-Forecast'!H29*(1-0.15)</f>
        <v>2500.7467499999998</v>
      </c>
      <c r="I13" s="33">
        <f>'Fin-Forecast'!I29*(1-0.15)</f>
        <v>2424.2467499999998</v>
      </c>
      <c r="J13" s="33">
        <f>'Fin-Forecast'!J29*(1-0.15)</f>
        <v>2347.7467499999998</v>
      </c>
      <c r="K13" s="33">
        <f>'Fin-Forecast'!K29*(1-0.15)</f>
        <v>2271.2467499999998</v>
      </c>
      <c r="L13" s="33">
        <f>'Fin-Forecast'!L29*(1-0.15)</f>
        <v>2194.7467499999998</v>
      </c>
      <c r="M13" s="33">
        <f>'Fin-Forecast'!M29*(1-0.15)</f>
        <v>2118.2467499999998</v>
      </c>
    </row>
    <row r="14" spans="1:13" x14ac:dyDescent="0.2">
      <c r="A14" s="10" t="s">
        <v>220</v>
      </c>
      <c r="B14" s="3"/>
      <c r="C14" s="33">
        <f t="shared" ref="C14:M14" si="3">C11-C13</f>
        <v>24502.859589041196</v>
      </c>
      <c r="D14" s="33">
        <f t="shared" si="3"/>
        <v>21586.198630137311</v>
      </c>
      <c r="E14" s="33">
        <f t="shared" si="3"/>
        <v>3935.4869863017898</v>
      </c>
      <c r="F14" s="33">
        <f t="shared" si="3"/>
        <v>15670.964383561297</v>
      </c>
      <c r="G14" s="33">
        <f t="shared" si="3"/>
        <v>8413.0519803906845</v>
      </c>
      <c r="H14" s="33">
        <f t="shared" si="3"/>
        <v>11043.44727925927</v>
      </c>
      <c r="I14" s="33">
        <f t="shared" si="3"/>
        <v>12552.593439080016</v>
      </c>
      <c r="J14" s="33">
        <f t="shared" si="3"/>
        <v>14027.785720185768</v>
      </c>
      <c r="K14" s="33">
        <f t="shared" si="3"/>
        <v>15381.606022724058</v>
      </c>
      <c r="L14" s="33">
        <f t="shared" si="3"/>
        <v>16720.035338630849</v>
      </c>
      <c r="M14" s="33">
        <f t="shared" si="3"/>
        <v>17363.978801289719</v>
      </c>
    </row>
    <row r="16" spans="1:13" x14ac:dyDescent="0.2">
      <c r="A16" s="4" t="s">
        <v>221</v>
      </c>
    </row>
    <row r="17" spans="1:13" x14ac:dyDescent="0.2">
      <c r="A17" s="5" t="s">
        <v>121</v>
      </c>
      <c r="B17" s="27">
        <f>'Fin-Forecast'!B33</f>
        <v>16786.649999999998</v>
      </c>
      <c r="C17" s="27">
        <f>'Fin-Forecast'!C33</f>
        <v>19211.7</v>
      </c>
      <c r="D17" s="27">
        <f>'Fin-Forecast'!D33</f>
        <v>15369.699999999999</v>
      </c>
      <c r="E17" s="27">
        <f>'Fin-Forecast'!E33</f>
        <v>14131.25</v>
      </c>
      <c r="F17" s="27">
        <f>'Fin-Forecast'!F33</f>
        <v>17776.05</v>
      </c>
      <c r="G17" s="27">
        <f>'Fin-Forecast'!G33</f>
        <v>18735.754400000002</v>
      </c>
      <c r="H17" s="27">
        <f>'Fin-Forecast'!H33</f>
        <v>19961.844209999999</v>
      </c>
      <c r="I17" s="27">
        <f>'Fin-Forecast'!I33</f>
        <v>21041.519609879997</v>
      </c>
      <c r="J17" s="27">
        <f>'Fin-Forecast'!J33</f>
        <v>22008.945798839995</v>
      </c>
      <c r="K17" s="27">
        <f>'Fin-Forecast'!K33</f>
        <v>22779.258901799396</v>
      </c>
      <c r="L17" s="27">
        <f>'Fin-Forecast'!L33</f>
        <v>23462.636668853374</v>
      </c>
      <c r="M17" s="27">
        <f>'Fin-Forecast'!M33</f>
        <v>24166.51576891898</v>
      </c>
    </row>
    <row r="18" spans="1:13" x14ac:dyDescent="0.2">
      <c r="A18" s="5" t="s">
        <v>222</v>
      </c>
      <c r="B18" s="27">
        <f>'Fin-Capital'!B10</f>
        <v>14689.2554794521</v>
      </c>
      <c r="C18" s="27">
        <f>'Fin-Capital'!C10</f>
        <v>15283.7904109589</v>
      </c>
      <c r="D18" s="27">
        <f>'Fin-Capital'!D10</f>
        <v>19331.763013698597</v>
      </c>
      <c r="E18" s="27">
        <f>'Fin-Capital'!E10</f>
        <v>12314.182191780797</v>
      </c>
      <c r="F18" s="27">
        <f>'Fin-Capital'!F10</f>
        <v>13445.849315068499</v>
      </c>
      <c r="G18" s="27">
        <f>'Fin-Capital'!G10</f>
        <v>13555.188800000002</v>
      </c>
      <c r="H18" s="27">
        <f>'Fin-Capital'!H10</f>
        <v>13970.098240000001</v>
      </c>
      <c r="I18" s="27">
        <f>'Fin-Capital'!I10</f>
        <v>14362.187660799998</v>
      </c>
      <c r="J18" s="27">
        <f>'Fin-Capital'!J10</f>
        <v>14726.395167232002</v>
      </c>
      <c r="K18" s="27">
        <f>'Fin-Capital'!K10</f>
        <v>15057.823998085121</v>
      </c>
      <c r="L18" s="27">
        <f>'Fin-Capital'!L10</f>
        <v>15351.848718027672</v>
      </c>
      <c r="M18" s="27">
        <f>'Fin-Capital'!M10</f>
        <v>15654.694179568503</v>
      </c>
    </row>
    <row r="19" spans="1:13" x14ac:dyDescent="0.2">
      <c r="A19" s="5" t="s">
        <v>214</v>
      </c>
      <c r="B19" s="27">
        <f>'Fin-Capital'!B12</f>
        <v>124066.252054795</v>
      </c>
      <c r="C19" s="27">
        <f>'Fin-Capital'!C12</f>
        <v>115585.45753424701</v>
      </c>
      <c r="D19" s="27">
        <f>'Fin-Capital'!D12</f>
        <v>106901.98630136999</v>
      </c>
      <c r="E19" s="27">
        <f>'Fin-Capital'!E12</f>
        <v>114343.430136986</v>
      </c>
      <c r="F19" s="27">
        <f>'Fin-Capital'!F12</f>
        <v>112418.69863013701</v>
      </c>
      <c r="G19" s="27">
        <f>'Fin-Capital'!G12</f>
        <v>120054.81481481482</v>
      </c>
      <c r="H19" s="27">
        <f>'Fin-Capital'!H12</f>
        <v>126057.55555555555</v>
      </c>
      <c r="I19" s="27">
        <f>'Fin-Capital'!I12</f>
        <v>131730.14555555553</v>
      </c>
      <c r="J19" s="27">
        <f>'Fin-Capital'!J12</f>
        <v>136999.35137777776</v>
      </c>
      <c r="K19" s="27">
        <f>'Fin-Capital'!K12</f>
        <v>141794.32867599998</v>
      </c>
      <c r="L19" s="27">
        <f>'Fin-Capital'!L12</f>
        <v>146048.15853627995</v>
      </c>
      <c r="M19" s="27">
        <f>'Fin-Capital'!M12</f>
        <v>150429.60329236838</v>
      </c>
    </row>
    <row r="20" spans="1:13" x14ac:dyDescent="0.2">
      <c r="A20" s="5" t="s">
        <v>223</v>
      </c>
      <c r="B20" s="3"/>
      <c r="C20" s="33">
        <f t="shared" ref="C20:M20" si="4">C18-B18</f>
        <v>594.53493150679969</v>
      </c>
      <c r="D20" s="33">
        <f t="shared" si="4"/>
        <v>4047.9726027396973</v>
      </c>
      <c r="E20" s="33">
        <f t="shared" si="4"/>
        <v>-7017.5808219177998</v>
      </c>
      <c r="F20" s="33">
        <f t="shared" si="4"/>
        <v>1131.6671232877015</v>
      </c>
      <c r="G20" s="33">
        <f t="shared" si="4"/>
        <v>109.33948493150274</v>
      </c>
      <c r="H20" s="33">
        <f t="shared" si="4"/>
        <v>414.90943999999945</v>
      </c>
      <c r="I20" s="33">
        <f t="shared" si="4"/>
        <v>392.08942079999724</v>
      </c>
      <c r="J20" s="33">
        <f t="shared" si="4"/>
        <v>364.20750643200336</v>
      </c>
      <c r="K20" s="33">
        <f t="shared" si="4"/>
        <v>331.42883085311951</v>
      </c>
      <c r="L20" s="33">
        <f t="shared" si="4"/>
        <v>294.02471994255029</v>
      </c>
      <c r="M20" s="33">
        <f t="shared" si="4"/>
        <v>302.84546154083182</v>
      </c>
    </row>
    <row r="21" spans="1:13" x14ac:dyDescent="0.2">
      <c r="A21" s="5" t="s">
        <v>216</v>
      </c>
      <c r="B21" s="3"/>
      <c r="C21" s="33">
        <f t="shared" ref="C21:M21" si="5">C19-B19</f>
        <v>-8480.7945205479919</v>
      </c>
      <c r="D21" s="33">
        <f t="shared" si="5"/>
        <v>-8683.4712328770111</v>
      </c>
      <c r="E21" s="33">
        <f t="shared" si="5"/>
        <v>7441.4438356160099</v>
      </c>
      <c r="F21" s="33">
        <f t="shared" si="5"/>
        <v>-1924.7315068489988</v>
      </c>
      <c r="G21" s="33">
        <f t="shared" si="5"/>
        <v>7636.1161846778123</v>
      </c>
      <c r="H21" s="33">
        <f t="shared" si="5"/>
        <v>6002.74074074073</v>
      </c>
      <c r="I21" s="33">
        <f t="shared" si="5"/>
        <v>5672.589999999982</v>
      </c>
      <c r="J21" s="33">
        <f t="shared" si="5"/>
        <v>5269.2058222222258</v>
      </c>
      <c r="K21" s="33">
        <f t="shared" si="5"/>
        <v>4794.9772982222203</v>
      </c>
      <c r="L21" s="33">
        <f t="shared" si="5"/>
        <v>4253.8298602799769</v>
      </c>
      <c r="M21" s="33">
        <f t="shared" si="5"/>
        <v>4381.4447560884291</v>
      </c>
    </row>
    <row r="22" spans="1:13" x14ac:dyDescent="0.2">
      <c r="A22" s="10" t="s">
        <v>224</v>
      </c>
      <c r="B22" s="3"/>
      <c r="C22" s="33">
        <f t="shared" ref="C22:M22" si="6">C17-C20-C21</f>
        <v>27097.959589041195</v>
      </c>
      <c r="D22" s="33">
        <f t="shared" si="6"/>
        <v>20005.198630137311</v>
      </c>
      <c r="E22" s="33">
        <f t="shared" si="6"/>
        <v>13707.38698630179</v>
      </c>
      <c r="F22" s="33">
        <f t="shared" si="6"/>
        <v>18569.114383561297</v>
      </c>
      <c r="G22" s="33">
        <f t="shared" si="6"/>
        <v>10990.298730390685</v>
      </c>
      <c r="H22" s="33">
        <f t="shared" si="6"/>
        <v>13544.19402925927</v>
      </c>
      <c r="I22" s="33">
        <f t="shared" si="6"/>
        <v>14976.840189080016</v>
      </c>
      <c r="J22" s="33">
        <f t="shared" si="6"/>
        <v>16375.532470185768</v>
      </c>
      <c r="K22" s="33">
        <f t="shared" si="6"/>
        <v>17652.852772724058</v>
      </c>
      <c r="L22" s="33">
        <f t="shared" si="6"/>
        <v>18914.782088630847</v>
      </c>
      <c r="M22" s="33">
        <f t="shared" si="6"/>
        <v>19482.225551289717</v>
      </c>
    </row>
    <row r="23" spans="1:13" x14ac:dyDescent="0.2">
      <c r="A23" s="5" t="s">
        <v>219</v>
      </c>
      <c r="B23" s="33">
        <f>'Fin-Forecast'!B29*(1-0.15)</f>
        <v>2081.65</v>
      </c>
      <c r="C23" s="33">
        <f>'Fin-Forecast'!C29*(1-0.15)</f>
        <v>1994.1</v>
      </c>
      <c r="D23" s="33">
        <f>'Fin-Forecast'!D29*(1-0.15)</f>
        <v>2006</v>
      </c>
      <c r="E23" s="33">
        <f>'Fin-Forecast'!E29*(1-0.15)</f>
        <v>2510.9</v>
      </c>
      <c r="F23" s="33">
        <f>'Fin-Forecast'!F29*(1-0.15)</f>
        <v>2600.15</v>
      </c>
      <c r="G23" s="33">
        <f>'Fin-Forecast'!G29*(1-0.15)</f>
        <v>2577.2467499999998</v>
      </c>
      <c r="H23" s="33">
        <f>'Fin-Forecast'!H29*(1-0.15)</f>
        <v>2500.7467499999998</v>
      </c>
      <c r="I23" s="33">
        <f>'Fin-Forecast'!I29*(1-0.15)</f>
        <v>2424.2467499999998</v>
      </c>
      <c r="J23" s="33">
        <f>'Fin-Forecast'!J29*(1-0.15)</f>
        <v>2347.7467499999998</v>
      </c>
      <c r="K23" s="33">
        <f>'Fin-Forecast'!K29*(1-0.15)</f>
        <v>2271.2467499999998</v>
      </c>
      <c r="L23" s="33">
        <f>'Fin-Forecast'!L29*(1-0.15)</f>
        <v>2194.7467499999998</v>
      </c>
      <c r="M23" s="33">
        <f>'Fin-Forecast'!M29*(1-0.15)</f>
        <v>2118.2467499999998</v>
      </c>
    </row>
    <row r="24" spans="1:13" x14ac:dyDescent="0.2">
      <c r="A24" s="5" t="s">
        <v>225</v>
      </c>
      <c r="B24" s="3"/>
      <c r="C24" s="33">
        <f>'Fin-Capital'!C18-'Fin-Capital'!B18</f>
        <v>-13384</v>
      </c>
      <c r="D24" s="33">
        <f>'Fin-Capital'!D18-'Fin-Capital'!C18</f>
        <v>-4071</v>
      </c>
      <c r="E24" s="33">
        <f>'Fin-Capital'!E18-'Fin-Capital'!D18</f>
        <v>7721</v>
      </c>
      <c r="F24" s="33">
        <f>'Fin-Capital'!F18-'Fin-Capital'!E18</f>
        <v>538</v>
      </c>
      <c r="G24" s="33">
        <f>'Fin-Capital'!G18-'Fin-Capital'!F18</f>
        <v>-2000</v>
      </c>
      <c r="H24" s="33">
        <f>'Fin-Capital'!H18-'Fin-Capital'!G18</f>
        <v>-2000</v>
      </c>
      <c r="I24" s="33">
        <f>'Fin-Capital'!I18-'Fin-Capital'!H18</f>
        <v>-2000</v>
      </c>
      <c r="J24" s="33">
        <f>'Fin-Capital'!J18-'Fin-Capital'!I18</f>
        <v>-2000</v>
      </c>
      <c r="K24" s="33">
        <f>'Fin-Capital'!K18-'Fin-Capital'!J18</f>
        <v>-2000</v>
      </c>
      <c r="L24" s="33">
        <f>'Fin-Capital'!L18-'Fin-Capital'!K18</f>
        <v>-2000</v>
      </c>
      <c r="M24" s="33">
        <f>'Fin-Capital'!M18-'Fin-Capital'!L18</f>
        <v>-2000</v>
      </c>
    </row>
    <row r="25" spans="1:13" x14ac:dyDescent="0.2">
      <c r="A25" s="10" t="s">
        <v>226</v>
      </c>
      <c r="B25" s="3"/>
      <c r="C25" s="33">
        <f t="shared" ref="C25:M25" si="7">C22-C23+C24</f>
        <v>11719.859589041196</v>
      </c>
      <c r="D25" s="33">
        <f t="shared" si="7"/>
        <v>13928.198630137311</v>
      </c>
      <c r="E25" s="33">
        <f t="shared" si="7"/>
        <v>18917.486986301788</v>
      </c>
      <c r="F25" s="33">
        <f t="shared" si="7"/>
        <v>16506.964383561295</v>
      </c>
      <c r="G25" s="33">
        <f t="shared" si="7"/>
        <v>6413.0519803906845</v>
      </c>
      <c r="H25" s="33">
        <f t="shared" si="7"/>
        <v>9043.4472792592696</v>
      </c>
      <c r="I25" s="33">
        <f t="shared" si="7"/>
        <v>10552.593439080016</v>
      </c>
      <c r="J25" s="33">
        <f t="shared" si="7"/>
        <v>12027.785720185768</v>
      </c>
      <c r="K25" s="33">
        <f t="shared" si="7"/>
        <v>13381.606022724058</v>
      </c>
      <c r="L25" s="33">
        <f t="shared" si="7"/>
        <v>14720.035338630849</v>
      </c>
      <c r="M25" s="33">
        <f t="shared" si="7"/>
        <v>15363.978801289719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</sheetPr>
  <dimension ref="A1:D19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8" width="13" customWidth="1"/>
  </cols>
  <sheetData>
    <row r="1" spans="1:4" ht="16" x14ac:dyDescent="0.2">
      <c r="A1" s="7" t="s">
        <v>227</v>
      </c>
    </row>
    <row r="3" spans="1:4" x14ac:dyDescent="0.2">
      <c r="A3" s="4" t="s">
        <v>228</v>
      </c>
    </row>
    <row r="4" spans="1:4" x14ac:dyDescent="0.2">
      <c r="A4" s="5" t="s">
        <v>229</v>
      </c>
      <c r="B4" s="5" t="s">
        <v>16</v>
      </c>
    </row>
    <row r="5" spans="1:4" x14ac:dyDescent="0.2">
      <c r="A5" s="5" t="s">
        <v>230</v>
      </c>
      <c r="B5" s="5" t="s">
        <v>18</v>
      </c>
    </row>
    <row r="6" spans="1:4" x14ac:dyDescent="0.2">
      <c r="A6" s="5" t="s">
        <v>231</v>
      </c>
      <c r="B6" s="5" t="s">
        <v>232</v>
      </c>
    </row>
    <row r="7" spans="1:4" x14ac:dyDescent="0.2">
      <c r="A7" s="5" t="s">
        <v>233</v>
      </c>
      <c r="B7" s="5" t="s">
        <v>234</v>
      </c>
    </row>
    <row r="8" spans="1:4" x14ac:dyDescent="0.2">
      <c r="A8" s="5" t="s">
        <v>235</v>
      </c>
      <c r="B8" s="5" t="s">
        <v>236</v>
      </c>
    </row>
    <row r="9" spans="1:4" x14ac:dyDescent="0.2">
      <c r="A9" s="5" t="s">
        <v>237</v>
      </c>
      <c r="B9" s="5" t="s">
        <v>238</v>
      </c>
    </row>
    <row r="10" spans="1:4" x14ac:dyDescent="0.2">
      <c r="A10" s="5" t="s">
        <v>88</v>
      </c>
      <c r="B10" s="5" t="s">
        <v>30</v>
      </c>
    </row>
    <row r="13" spans="1:4" x14ac:dyDescent="0.2">
      <c r="A13" s="4" t="s">
        <v>239</v>
      </c>
    </row>
    <row r="14" spans="1:4" x14ac:dyDescent="0.2">
      <c r="A14" s="13" t="s">
        <v>240</v>
      </c>
      <c r="B14" s="14" t="s">
        <v>117</v>
      </c>
      <c r="C14" s="14" t="s">
        <v>119</v>
      </c>
      <c r="D14" s="14" t="s">
        <v>241</v>
      </c>
    </row>
    <row r="15" spans="1:4" x14ac:dyDescent="0.2">
      <c r="A15" s="41">
        <v>2021</v>
      </c>
      <c r="B15" s="25">
        <v>56197</v>
      </c>
      <c r="C15" s="25">
        <v>19749</v>
      </c>
      <c r="D15" s="12">
        <f>C15/B15</f>
        <v>0.35142445326262967</v>
      </c>
    </row>
    <row r="16" spans="1:4" x14ac:dyDescent="0.2">
      <c r="A16" s="41">
        <v>2022</v>
      </c>
      <c r="B16" s="25">
        <v>58054</v>
      </c>
      <c r="C16" s="25">
        <v>22602</v>
      </c>
      <c r="D16" s="12">
        <f>C16/B16</f>
        <v>0.38932717814448614</v>
      </c>
    </row>
    <row r="17" spans="1:4" x14ac:dyDescent="0.2">
      <c r="A17" s="41">
        <v>2023</v>
      </c>
      <c r="B17" s="25">
        <v>54318</v>
      </c>
      <c r="C17" s="25">
        <v>18082</v>
      </c>
      <c r="D17" s="12">
        <f>C17/B17</f>
        <v>0.33289149085017855</v>
      </c>
    </row>
    <row r="18" spans="1:4" x14ac:dyDescent="0.2">
      <c r="A18" s="41">
        <v>2024</v>
      </c>
      <c r="B18" s="25">
        <v>56334</v>
      </c>
      <c r="C18" s="25">
        <v>16625</v>
      </c>
      <c r="D18" s="12">
        <f>C18/B18</f>
        <v>0.29511485071182592</v>
      </c>
    </row>
    <row r="19" spans="1:4" x14ac:dyDescent="0.2">
      <c r="A19" s="41">
        <v>2025</v>
      </c>
      <c r="B19" s="25">
        <v>61160</v>
      </c>
      <c r="C19" s="25">
        <v>20913</v>
      </c>
      <c r="D19" s="12">
        <f>C19/B19</f>
        <v>0.3419391759319817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I32"/>
  <sheetViews>
    <sheetView showGridLines="0" topLeftCell="A15" zoomScaleNormal="100" workbookViewId="0">
      <selection activeCell="B10" sqref="B10"/>
    </sheetView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9" ht="16" x14ac:dyDescent="0.2">
      <c r="A1" s="7" t="s">
        <v>242</v>
      </c>
    </row>
    <row r="2" spans="1:9" x14ac:dyDescent="0.2">
      <c r="A2" s="6" t="s">
        <v>243</v>
      </c>
    </row>
    <row r="4" spans="1:9" x14ac:dyDescent="0.2">
      <c r="A4" s="4" t="s">
        <v>410</v>
      </c>
    </row>
    <row r="5" spans="1:9" x14ac:dyDescent="0.2">
      <c r="A5" s="27" t="s">
        <v>88</v>
      </c>
      <c r="B5" s="39">
        <f>Drivers!D25</f>
        <v>7.5735999999999998E-2</v>
      </c>
    </row>
    <row r="6" spans="1:9" x14ac:dyDescent="0.2">
      <c r="A6" s="27" t="s">
        <v>244</v>
      </c>
      <c r="B6" s="39">
        <f>Drivers!D36</f>
        <v>0.03</v>
      </c>
    </row>
    <row r="7" spans="1:9" x14ac:dyDescent="0.2">
      <c r="A7" s="27" t="s">
        <v>406</v>
      </c>
      <c r="B7" s="42">
        <f>Drivers!D37</f>
        <v>13</v>
      </c>
    </row>
    <row r="8" spans="1:9" x14ac:dyDescent="0.2">
      <c r="A8" s="27" t="s">
        <v>409</v>
      </c>
      <c r="B8" s="27">
        <f>Drivers!D10</f>
        <v>63122</v>
      </c>
    </row>
    <row r="9" spans="1:9" x14ac:dyDescent="0.2">
      <c r="A9" s="27" t="s">
        <v>408</v>
      </c>
      <c r="B9" s="43">
        <f>Drivers!D9</f>
        <v>1773</v>
      </c>
    </row>
    <row r="10" spans="1:9" x14ac:dyDescent="0.2">
      <c r="A10" s="27" t="s">
        <v>407</v>
      </c>
      <c r="B10" s="9">
        <f>Drivers!D8</f>
        <v>224.77</v>
      </c>
    </row>
    <row r="12" spans="1:9" x14ac:dyDescent="0.2">
      <c r="A12" s="4" t="s">
        <v>245</v>
      </c>
    </row>
    <row r="13" spans="1:9" x14ac:dyDescent="0.2">
      <c r="A13" s="13" t="s">
        <v>240</v>
      </c>
      <c r="C13" s="14" t="s">
        <v>62</v>
      </c>
      <c r="D13" s="14" t="s">
        <v>63</v>
      </c>
      <c r="E13" s="14" t="s">
        <v>64</v>
      </c>
      <c r="F13" s="14" t="s">
        <v>65</v>
      </c>
      <c r="G13" s="14" t="s">
        <v>66</v>
      </c>
      <c r="H13" s="14" t="s">
        <v>67</v>
      </c>
      <c r="I13" s="14" t="s">
        <v>68</v>
      </c>
    </row>
    <row r="14" spans="1:9" x14ac:dyDescent="0.2">
      <c r="A14" s="5" t="s">
        <v>246</v>
      </c>
      <c r="C14" s="44">
        <v>1</v>
      </c>
      <c r="D14" s="44">
        <v>2</v>
      </c>
      <c r="E14" s="44">
        <v>3</v>
      </c>
      <c r="F14" s="44">
        <v>4</v>
      </c>
      <c r="G14" s="44">
        <v>5</v>
      </c>
      <c r="H14" s="44">
        <v>6</v>
      </c>
      <c r="I14" s="44">
        <v>7</v>
      </c>
    </row>
    <row r="15" spans="1:9" x14ac:dyDescent="0.2">
      <c r="A15" s="5" t="s">
        <v>247</v>
      </c>
      <c r="C15" s="27">
        <f>'Fin-FCF'!G22</f>
        <v>10990.298730390685</v>
      </c>
      <c r="D15" s="27">
        <f>'Fin-FCF'!H22</f>
        <v>13544.19402925927</v>
      </c>
      <c r="E15" s="27">
        <f>'Fin-FCF'!I22</f>
        <v>14976.840189080016</v>
      </c>
      <c r="F15" s="27">
        <f>'Fin-FCF'!J22</f>
        <v>16375.532470185768</v>
      </c>
      <c r="G15" s="27">
        <f>'Fin-FCF'!K22</f>
        <v>17652.852772724058</v>
      </c>
      <c r="H15" s="27">
        <f>'Fin-FCF'!L22</f>
        <v>18914.782088630847</v>
      </c>
      <c r="I15" s="27">
        <f>'Fin-FCF'!M22</f>
        <v>19482.225551289717</v>
      </c>
    </row>
    <row r="16" spans="1:9" x14ac:dyDescent="0.2">
      <c r="A16" s="5" t="s">
        <v>248</v>
      </c>
      <c r="C16" s="45">
        <f>1/(1+$B$5)^1</f>
        <v>0.92959610908252577</v>
      </c>
      <c r="D16" s="45">
        <f>1/(1+$B$5)^2</f>
        <v>0.86414892602137117</v>
      </c>
      <c r="E16" s="45">
        <f>1/(1+$B$5)^3</f>
        <v>0.80330947929731</v>
      </c>
      <c r="F16" s="45">
        <f>1/(1+$B$5)^4</f>
        <v>0.74675336634388911</v>
      </c>
      <c r="G16" s="45">
        <f>1/(1+$B$5)^5</f>
        <v>0.69417902379755725</v>
      </c>
      <c r="H16" s="45">
        <f>1/(1+$B$5)^6</f>
        <v>0.64530611952891526</v>
      </c>
      <c r="I16" s="45">
        <f>1/(1+$B$5)^7</f>
        <v>0.59987405788122283</v>
      </c>
    </row>
    <row r="17" spans="1:9" x14ac:dyDescent="0.2">
      <c r="A17" s="5" t="s">
        <v>249</v>
      </c>
      <c r="C17" s="33">
        <f t="shared" ref="C17:I17" si="0">C15*C16</f>
        <v>10216.538937425803</v>
      </c>
      <c r="D17" s="33">
        <f t="shared" si="0"/>
        <v>11704.200724209466</v>
      </c>
      <c r="E17" s="33">
        <f t="shared" si="0"/>
        <v>12031.037693808894</v>
      </c>
      <c r="F17" s="33">
        <f t="shared" si="0"/>
        <v>12228.483997784884</v>
      </c>
      <c r="G17" s="33">
        <f t="shared" si="0"/>
        <v>12254.240105011588</v>
      </c>
      <c r="H17" s="33">
        <f t="shared" si="0"/>
        <v>12205.824631349404</v>
      </c>
      <c r="I17" s="33">
        <f t="shared" si="0"/>
        <v>11686.881698009407</v>
      </c>
    </row>
    <row r="19" spans="1:9" x14ac:dyDescent="0.2">
      <c r="A19" s="4" t="s">
        <v>250</v>
      </c>
    </row>
    <row r="20" spans="1:9" x14ac:dyDescent="0.2">
      <c r="A20" s="10" t="s">
        <v>251</v>
      </c>
      <c r="B20" s="33">
        <f>SUM(C17:I17)</f>
        <v>82327.207787599458</v>
      </c>
    </row>
    <row r="21" spans="1:9" x14ac:dyDescent="0.2">
      <c r="A21" s="5" t="s">
        <v>252</v>
      </c>
      <c r="B21" s="27">
        <f>'Fin-Forecast'!M25</f>
        <v>28431.195022257623</v>
      </c>
    </row>
    <row r="22" spans="1:9" x14ac:dyDescent="0.2">
      <c r="A22" s="5" t="s">
        <v>253</v>
      </c>
      <c r="B22" s="33">
        <f>B21*B7</f>
        <v>369605.53528934909</v>
      </c>
    </row>
    <row r="23" spans="1:9" x14ac:dyDescent="0.2">
      <c r="A23" s="5" t="s">
        <v>254</v>
      </c>
      <c r="B23" s="33">
        <f>B22*I16</f>
        <v>221716.77226938333</v>
      </c>
    </row>
    <row r="24" spans="1:9" x14ac:dyDescent="0.2">
      <c r="A24" s="5" t="s">
        <v>255</v>
      </c>
      <c r="B24" s="33">
        <f>I15*(1+B6)</f>
        <v>20066.692317828409</v>
      </c>
    </row>
    <row r="25" spans="1:9" x14ac:dyDescent="0.2">
      <c r="A25" s="5" t="s">
        <v>256</v>
      </c>
      <c r="B25" s="33">
        <f>B24/(B5-B6)</f>
        <v>438750.48797071038</v>
      </c>
    </row>
    <row r="26" spans="1:9" x14ac:dyDescent="0.2">
      <c r="A26" s="5" t="s">
        <v>257</v>
      </c>
      <c r="B26" s="33">
        <f>B25*I16</f>
        <v>263195.0356163567</v>
      </c>
    </row>
    <row r="28" spans="1:9" x14ac:dyDescent="0.2">
      <c r="A28" s="10" t="s">
        <v>258</v>
      </c>
      <c r="B28" s="33">
        <f>B20+(B23+B26)/2</f>
        <v>324783.11173046951</v>
      </c>
    </row>
    <row r="29" spans="1:9" x14ac:dyDescent="0.2">
      <c r="A29" s="5" t="s">
        <v>259</v>
      </c>
      <c r="B29" s="33">
        <f>-B8</f>
        <v>-63122</v>
      </c>
    </row>
    <row r="30" spans="1:9" x14ac:dyDescent="0.2">
      <c r="A30" s="10" t="s">
        <v>260</v>
      </c>
      <c r="B30" s="33">
        <f>B28-B8</f>
        <v>261661.11173046951</v>
      </c>
    </row>
    <row r="31" spans="1:9" x14ac:dyDescent="0.2">
      <c r="A31" s="10" t="s">
        <v>261</v>
      </c>
      <c r="B31" s="11">
        <f>B30/B9</f>
        <v>147.58099928396476</v>
      </c>
    </row>
    <row r="32" spans="1:9" x14ac:dyDescent="0.2">
      <c r="A32" s="5" t="s">
        <v>44</v>
      </c>
      <c r="B32" s="12">
        <f>B31/B10-1</f>
        <v>-0.34341327008068356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I29"/>
  <sheetViews>
    <sheetView showGridLines="0" topLeftCell="A18" zoomScaleNormal="100" workbookViewId="0">
      <selection activeCell="A4" sqref="A4"/>
    </sheetView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9" ht="16" x14ac:dyDescent="0.2">
      <c r="A1" s="7" t="s">
        <v>262</v>
      </c>
    </row>
    <row r="2" spans="1:9" x14ac:dyDescent="0.2">
      <c r="A2" s="6" t="s">
        <v>263</v>
      </c>
    </row>
    <row r="4" spans="1:9" x14ac:dyDescent="0.2">
      <c r="A4" s="4" t="s">
        <v>410</v>
      </c>
    </row>
    <row r="5" spans="1:9" x14ac:dyDescent="0.2">
      <c r="A5" s="27" t="s">
        <v>411</v>
      </c>
      <c r="B5" s="39">
        <f>Drivers!D19</f>
        <v>8.0500000000000002E-2</v>
      </c>
    </row>
    <row r="6" spans="1:9" x14ac:dyDescent="0.2">
      <c r="A6" s="27" t="s">
        <v>244</v>
      </c>
      <c r="B6" s="39">
        <f>Drivers!D36</f>
        <v>0.03</v>
      </c>
    </row>
    <row r="7" spans="1:9" x14ac:dyDescent="0.2">
      <c r="A7" s="27" t="s">
        <v>406</v>
      </c>
      <c r="B7" s="42">
        <f>Drivers!D38</f>
        <v>12</v>
      </c>
    </row>
    <row r="8" spans="1:9" x14ac:dyDescent="0.2">
      <c r="A8" s="27" t="s">
        <v>408</v>
      </c>
      <c r="B8" s="43">
        <f>Drivers!D9</f>
        <v>1773</v>
      </c>
    </row>
    <row r="9" spans="1:9" x14ac:dyDescent="0.2">
      <c r="A9" s="27" t="s">
        <v>407</v>
      </c>
      <c r="B9" s="9">
        <f>Drivers!D8</f>
        <v>224.77</v>
      </c>
    </row>
    <row r="11" spans="1:9" x14ac:dyDescent="0.2">
      <c r="A11" s="4" t="s">
        <v>245</v>
      </c>
    </row>
    <row r="12" spans="1:9" x14ac:dyDescent="0.2">
      <c r="A12" s="13" t="s">
        <v>240</v>
      </c>
      <c r="C12" s="14" t="s">
        <v>62</v>
      </c>
      <c r="D12" s="14" t="s">
        <v>63</v>
      </c>
      <c r="E12" s="14" t="s">
        <v>64</v>
      </c>
      <c r="F12" s="14" t="s">
        <v>65</v>
      </c>
      <c r="G12" s="14" t="s">
        <v>66</v>
      </c>
      <c r="H12" s="14" t="s">
        <v>67</v>
      </c>
      <c r="I12" s="14" t="s">
        <v>68</v>
      </c>
    </row>
    <row r="13" spans="1:9" x14ac:dyDescent="0.2">
      <c r="A13" s="5" t="s">
        <v>246</v>
      </c>
      <c r="C13" s="44">
        <v>1</v>
      </c>
      <c r="D13" s="44">
        <v>2</v>
      </c>
      <c r="E13" s="44">
        <v>3</v>
      </c>
      <c r="F13" s="44">
        <v>4</v>
      </c>
      <c r="G13" s="44">
        <v>5</v>
      </c>
      <c r="H13" s="44">
        <v>6</v>
      </c>
      <c r="I13" s="44">
        <v>7</v>
      </c>
    </row>
    <row r="14" spans="1:9" x14ac:dyDescent="0.2">
      <c r="A14" s="5" t="s">
        <v>226</v>
      </c>
      <c r="C14" s="27">
        <f>'Fin-FCF'!G25</f>
        <v>6413.0519803906845</v>
      </c>
      <c r="D14" s="27">
        <f>'Fin-FCF'!H25</f>
        <v>9043.4472792592696</v>
      </c>
      <c r="E14" s="27">
        <f>'Fin-FCF'!I25</f>
        <v>10552.593439080016</v>
      </c>
      <c r="F14" s="27">
        <f>'Fin-FCF'!J25</f>
        <v>12027.785720185768</v>
      </c>
      <c r="G14" s="27">
        <f>'Fin-FCF'!K25</f>
        <v>13381.606022724058</v>
      </c>
      <c r="H14" s="27">
        <f>'Fin-FCF'!L25</f>
        <v>14720.035338630849</v>
      </c>
      <c r="I14" s="27">
        <f>'Fin-FCF'!M25</f>
        <v>15363.978801289719</v>
      </c>
    </row>
    <row r="15" spans="1:9" x14ac:dyDescent="0.2">
      <c r="A15" s="5" t="s">
        <v>264</v>
      </c>
      <c r="C15" s="45">
        <f>1/(1+$B$5)^1</f>
        <v>0.92549745488199908</v>
      </c>
      <c r="D15" s="45">
        <f>1/(1+$B$5)^2</f>
        <v>0.85654553899305785</v>
      </c>
      <c r="E15" s="45">
        <f>1/(1+$B$5)^3</f>
        <v>0.79273071632860515</v>
      </c>
      <c r="F15" s="45">
        <f>1/(1+$B$5)^4</f>
        <v>0.73367026036890803</v>
      </c>
      <c r="G15" s="45">
        <f>1/(1+$B$5)^5</f>
        <v>0.67900995869403802</v>
      </c>
      <c r="H15" s="45">
        <f>1/(1+$B$5)^6</f>
        <v>0.6284219886108634</v>
      </c>
      <c r="I15" s="45">
        <f>1/(1+$B$5)^7</f>
        <v>0.58160295105123871</v>
      </c>
    </row>
    <row r="16" spans="1:9" x14ac:dyDescent="0.2">
      <c r="A16" s="5" t="s">
        <v>265</v>
      </c>
      <c r="C16" s="33">
        <f t="shared" ref="C16:I16" si="0">C14*C15</f>
        <v>5935.2632858775423</v>
      </c>
      <c r="D16" s="33">
        <f t="shared" si="0"/>
        <v>7746.1244241684335</v>
      </c>
      <c r="E16" s="33">
        <f t="shared" si="0"/>
        <v>8365.3649560864396</v>
      </c>
      <c r="F16" s="33">
        <f t="shared" si="0"/>
        <v>8824.4286809901259</v>
      </c>
      <c r="G16" s="33">
        <f t="shared" si="0"/>
        <v>9086.2437527497532</v>
      </c>
      <c r="H16" s="33">
        <f t="shared" si="0"/>
        <v>9250.3938799245825</v>
      </c>
      <c r="I16" s="33">
        <f t="shared" si="0"/>
        <v>8935.735410718773</v>
      </c>
    </row>
    <row r="18" spans="1:2" x14ac:dyDescent="0.2">
      <c r="A18" s="4" t="s">
        <v>250</v>
      </c>
    </row>
    <row r="19" spans="1:2" x14ac:dyDescent="0.2">
      <c r="A19" s="10" t="s">
        <v>266</v>
      </c>
      <c r="B19" s="33">
        <f>SUM(C16:I16)</f>
        <v>58143.554390515645</v>
      </c>
    </row>
    <row r="20" spans="1:2" x14ac:dyDescent="0.2">
      <c r="A20" s="5" t="s">
        <v>267</v>
      </c>
      <c r="B20" s="27">
        <f>'Fin-Forecast'!M32</f>
        <v>22048.269018918982</v>
      </c>
    </row>
    <row r="21" spans="1:2" x14ac:dyDescent="0.2">
      <c r="A21" s="5" t="s">
        <v>268</v>
      </c>
      <c r="B21" s="33">
        <f>B20*B7</f>
        <v>264579.22822702781</v>
      </c>
    </row>
    <row r="22" spans="1:2" x14ac:dyDescent="0.2">
      <c r="A22" s="5" t="s">
        <v>269</v>
      </c>
      <c r="B22" s="33">
        <f>B21*I15</f>
        <v>153880.05992369857</v>
      </c>
    </row>
    <row r="23" spans="1:2" x14ac:dyDescent="0.2">
      <c r="A23" s="5" t="s">
        <v>270</v>
      </c>
      <c r="B23" s="33">
        <f>I14*(1+B6)</f>
        <v>15824.89816532841</v>
      </c>
    </row>
    <row r="24" spans="1:2" x14ac:dyDescent="0.2">
      <c r="A24" s="5" t="s">
        <v>256</v>
      </c>
      <c r="B24" s="33">
        <f>B23/(B5-B6)</f>
        <v>313364.32010551303</v>
      </c>
    </row>
    <row r="25" spans="1:2" x14ac:dyDescent="0.2">
      <c r="A25" s="5" t="s">
        <v>257</v>
      </c>
      <c r="B25" s="33">
        <f>B24*I15</f>
        <v>182253.61332753141</v>
      </c>
    </row>
    <row r="27" spans="1:2" x14ac:dyDescent="0.2">
      <c r="A27" s="10" t="s">
        <v>271</v>
      </c>
      <c r="B27" s="33">
        <f>B19+(B22+B25)/2</f>
        <v>226210.39101613063</v>
      </c>
    </row>
    <row r="28" spans="1:2" x14ac:dyDescent="0.2">
      <c r="A28" s="10" t="s">
        <v>261</v>
      </c>
      <c r="B28" s="11">
        <f>B27/B8</f>
        <v>127.5862329476202</v>
      </c>
    </row>
    <row r="29" spans="1:2" x14ac:dyDescent="0.2">
      <c r="A29" s="5" t="s">
        <v>44</v>
      </c>
      <c r="B29" s="12">
        <f>B28/B9-1</f>
        <v>-0.43236983161622899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I44"/>
  <sheetViews>
    <sheetView showGridLines="0" topLeftCell="A3" zoomScaleNormal="100" workbookViewId="0">
      <selection activeCell="B15" sqref="B15"/>
    </sheetView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9" ht="16" x14ac:dyDescent="0.2">
      <c r="A1" s="7" t="s">
        <v>272</v>
      </c>
    </row>
    <row r="2" spans="1:9" x14ac:dyDescent="0.2">
      <c r="A2" s="6" t="s">
        <v>273</v>
      </c>
    </row>
    <row r="4" spans="1:9" x14ac:dyDescent="0.2">
      <c r="A4" s="4" t="s">
        <v>410</v>
      </c>
    </row>
    <row r="5" spans="1:9" x14ac:dyDescent="0.2">
      <c r="A5" s="27" t="s">
        <v>88</v>
      </c>
      <c r="B5" s="39">
        <f>Drivers!D25</f>
        <v>7.5735999999999998E-2</v>
      </c>
    </row>
    <row r="6" spans="1:9" x14ac:dyDescent="0.2">
      <c r="A6" s="27" t="s">
        <v>411</v>
      </c>
      <c r="B6" s="39">
        <f>Drivers!D19</f>
        <v>8.0500000000000002E-2</v>
      </c>
    </row>
    <row r="7" spans="1:9" x14ac:dyDescent="0.2">
      <c r="A7" s="27" t="s">
        <v>244</v>
      </c>
      <c r="B7" s="39">
        <f>Drivers!D36</f>
        <v>0.03</v>
      </c>
    </row>
    <row r="8" spans="1:9" x14ac:dyDescent="0.2">
      <c r="A8" s="27" t="s">
        <v>123</v>
      </c>
      <c r="B8" s="27">
        <f>'Fin-Capital'!F13</f>
        <v>120607.5479452055</v>
      </c>
    </row>
    <row r="9" spans="1:9" x14ac:dyDescent="0.2">
      <c r="A9" s="27" t="s">
        <v>171</v>
      </c>
      <c r="B9" s="27">
        <f>'Fin-Capital'!F20</f>
        <v>-3270</v>
      </c>
    </row>
    <row r="10" spans="1:9" x14ac:dyDescent="0.2">
      <c r="A10" s="27" t="s">
        <v>409</v>
      </c>
      <c r="B10" s="27">
        <f>Drivers!D10</f>
        <v>63122</v>
      </c>
    </row>
    <row r="11" spans="1:9" x14ac:dyDescent="0.2">
      <c r="A11" s="27" t="s">
        <v>408</v>
      </c>
      <c r="B11" s="43">
        <f>Drivers!D9</f>
        <v>1773</v>
      </c>
    </row>
    <row r="12" spans="1:9" x14ac:dyDescent="0.2">
      <c r="A12" s="27" t="s">
        <v>407</v>
      </c>
      <c r="B12" s="9">
        <f>Drivers!D8</f>
        <v>224.77</v>
      </c>
    </row>
    <row r="14" spans="1:9" x14ac:dyDescent="0.2">
      <c r="A14" s="4" t="s">
        <v>274</v>
      </c>
    </row>
    <row r="15" spans="1:9" x14ac:dyDescent="0.2">
      <c r="A15" s="13" t="s">
        <v>240</v>
      </c>
      <c r="C15" s="14" t="s">
        <v>62</v>
      </c>
      <c r="D15" s="14" t="s">
        <v>63</v>
      </c>
      <c r="E15" s="14" t="s">
        <v>64</v>
      </c>
      <c r="F15" s="14" t="s">
        <v>65</v>
      </c>
      <c r="G15" s="14" t="s">
        <v>66</v>
      </c>
      <c r="H15" s="14" t="s">
        <v>67</v>
      </c>
      <c r="I15" s="14" t="s">
        <v>68</v>
      </c>
    </row>
    <row r="16" spans="1:9" x14ac:dyDescent="0.2">
      <c r="A16" s="5" t="s">
        <v>121</v>
      </c>
      <c r="C16" s="27">
        <f>'Fin-Forecast'!G33</f>
        <v>18735.754400000002</v>
      </c>
      <c r="D16" s="27">
        <f>'Fin-Forecast'!H33</f>
        <v>19961.844209999999</v>
      </c>
      <c r="E16" s="27">
        <f>'Fin-Forecast'!I33</f>
        <v>21041.519609879997</v>
      </c>
      <c r="F16" s="27">
        <f>'Fin-Forecast'!J33</f>
        <v>22008.945798839995</v>
      </c>
      <c r="G16" s="27">
        <f>'Fin-Forecast'!K33</f>
        <v>22779.258901799396</v>
      </c>
      <c r="H16" s="27">
        <f>'Fin-Forecast'!L33</f>
        <v>23462.636668853374</v>
      </c>
      <c r="I16" s="27">
        <f>'Fin-Forecast'!M33</f>
        <v>24166.51576891898</v>
      </c>
    </row>
    <row r="17" spans="1:9" x14ac:dyDescent="0.2">
      <c r="A17" s="5" t="s">
        <v>275</v>
      </c>
      <c r="C17" s="27">
        <f>'Fin-Capital'!F13</f>
        <v>120607.5479452055</v>
      </c>
      <c r="D17" s="27">
        <f>'Fin-Capital'!G13</f>
        <v>128353.00361481482</v>
      </c>
      <c r="E17" s="27">
        <f>'Fin-Capital'!H13</f>
        <v>134770.65379555555</v>
      </c>
      <c r="F17" s="27">
        <f>'Fin-Capital'!I13</f>
        <v>140835.33321635553</v>
      </c>
      <c r="G17" s="27">
        <f>'Fin-Capital'!J13</f>
        <v>146468.74654500975</v>
      </c>
      <c r="H17" s="27">
        <f>'Fin-Capital'!K13</f>
        <v>151595.15267408511</v>
      </c>
      <c r="I17" s="27">
        <f>'Fin-Capital'!L13</f>
        <v>156143.00725430762</v>
      </c>
    </row>
    <row r="18" spans="1:9" x14ac:dyDescent="0.2">
      <c r="A18" s="5" t="s">
        <v>276</v>
      </c>
      <c r="C18" s="33">
        <f t="shared" ref="C18:I18" si="0">$B$5*C17</f>
        <v>9134.3332511780827</v>
      </c>
      <c r="D18" s="33">
        <f t="shared" si="0"/>
        <v>9720.9430817716147</v>
      </c>
      <c r="E18" s="33">
        <f t="shared" si="0"/>
        <v>10206.990235860196</v>
      </c>
      <c r="F18" s="33">
        <f t="shared" si="0"/>
        <v>10666.304796473902</v>
      </c>
      <c r="G18" s="33">
        <f t="shared" si="0"/>
        <v>11092.956988332859</v>
      </c>
      <c r="H18" s="33">
        <f t="shared" si="0"/>
        <v>11481.210482924509</v>
      </c>
      <c r="I18" s="33">
        <f t="shared" si="0"/>
        <v>11825.646797412242</v>
      </c>
    </row>
    <row r="19" spans="1:9" x14ac:dyDescent="0.2">
      <c r="A19" s="5" t="s">
        <v>277</v>
      </c>
      <c r="C19" s="33">
        <f t="shared" ref="C19:I19" si="1">C16-C18</f>
        <v>9601.4211488219189</v>
      </c>
      <c r="D19" s="33">
        <f t="shared" si="1"/>
        <v>10240.901128228385</v>
      </c>
      <c r="E19" s="33">
        <f t="shared" si="1"/>
        <v>10834.529374019801</v>
      </c>
      <c r="F19" s="33">
        <f t="shared" si="1"/>
        <v>11342.641002366094</v>
      </c>
      <c r="G19" s="33">
        <f t="shared" si="1"/>
        <v>11686.301913466537</v>
      </c>
      <c r="H19" s="33">
        <f t="shared" si="1"/>
        <v>11981.426185928865</v>
      </c>
      <c r="I19" s="33">
        <f t="shared" si="1"/>
        <v>12340.868971506738</v>
      </c>
    </row>
    <row r="20" spans="1:9" x14ac:dyDescent="0.2">
      <c r="A20" s="5" t="s">
        <v>278</v>
      </c>
      <c r="C20" s="45">
        <f>1/(1+$B$5)^1</f>
        <v>0.92959610908252577</v>
      </c>
      <c r="D20" s="45">
        <f>1/(1+$B$5)^2</f>
        <v>0.86414892602137117</v>
      </c>
      <c r="E20" s="45">
        <f>1/(1+$B$5)^3</f>
        <v>0.80330947929731</v>
      </c>
      <c r="F20" s="45">
        <f>1/(1+$B$5)^4</f>
        <v>0.74675336634388911</v>
      </c>
      <c r="G20" s="45">
        <f>1/(1+$B$5)^5</f>
        <v>0.69417902379755725</v>
      </c>
      <c r="H20" s="45">
        <f>1/(1+$B$5)^6</f>
        <v>0.64530611952891526</v>
      </c>
      <c r="I20" s="45">
        <f>1/(1+$B$5)^7</f>
        <v>0.59987405788122283</v>
      </c>
    </row>
    <row r="21" spans="1:9" x14ac:dyDescent="0.2">
      <c r="A21" s="5" t="s">
        <v>279</v>
      </c>
      <c r="C21" s="33">
        <f t="shared" ref="C21:I21" si="2">C19*C20</f>
        <v>8925.4437416075307</v>
      </c>
      <c r="D21" s="33">
        <f t="shared" si="2"/>
        <v>8849.6637114496061</v>
      </c>
      <c r="E21" s="33">
        <f t="shared" si="2"/>
        <v>8703.4801498752568</v>
      </c>
      <c r="F21" s="33">
        <f t="shared" si="2"/>
        <v>8470.1553517471057</v>
      </c>
      <c r="G21" s="33">
        <f t="shared" si="2"/>
        <v>8112.3856540937259</v>
      </c>
      <c r="H21" s="33">
        <f t="shared" si="2"/>
        <v>7731.6876384638872</v>
      </c>
      <c r="I21" s="33">
        <f t="shared" si="2"/>
        <v>7402.9671477182192</v>
      </c>
    </row>
    <row r="23" spans="1:9" x14ac:dyDescent="0.2">
      <c r="A23" s="10" t="s">
        <v>280</v>
      </c>
      <c r="B23" s="33">
        <f>SUM(C21:I21)</f>
        <v>58195.783394955331</v>
      </c>
    </row>
    <row r="24" spans="1:9" x14ac:dyDescent="0.2">
      <c r="A24" s="5" t="s">
        <v>281</v>
      </c>
      <c r="B24" s="33">
        <f>I19*(1+B7)</f>
        <v>12711.095040651941</v>
      </c>
    </row>
    <row r="25" spans="1:9" x14ac:dyDescent="0.2">
      <c r="A25" s="5" t="s">
        <v>282</v>
      </c>
      <c r="B25" s="33">
        <f>B24/(B5-B7)*I20</f>
        <v>166718.91206379584</v>
      </c>
    </row>
    <row r="26" spans="1:9" x14ac:dyDescent="0.2">
      <c r="A26" s="5" t="s">
        <v>283</v>
      </c>
      <c r="B26" s="33">
        <f>B23+B25</f>
        <v>224914.69545875117</v>
      </c>
    </row>
    <row r="27" spans="1:9" x14ac:dyDescent="0.2">
      <c r="A27" s="10" t="s">
        <v>284</v>
      </c>
      <c r="B27" s="33">
        <f>B8+B26</f>
        <v>345522.24340395664</v>
      </c>
    </row>
    <row r="28" spans="1:9" x14ac:dyDescent="0.2">
      <c r="A28" s="5" t="s">
        <v>260</v>
      </c>
      <c r="B28" s="33">
        <f>B27-B10</f>
        <v>282400.24340395664</v>
      </c>
    </row>
    <row r="29" spans="1:9" x14ac:dyDescent="0.2">
      <c r="A29" s="10" t="s">
        <v>285</v>
      </c>
      <c r="B29" s="11">
        <f>B28/B11</f>
        <v>159.27819706934949</v>
      </c>
    </row>
    <row r="31" spans="1:9" x14ac:dyDescent="0.2">
      <c r="A31" s="4" t="s">
        <v>286</v>
      </c>
    </row>
    <row r="32" spans="1:9" x14ac:dyDescent="0.2">
      <c r="A32" s="13" t="s">
        <v>240</v>
      </c>
      <c r="C32" s="14" t="s">
        <v>62</v>
      </c>
      <c r="D32" s="14" t="s">
        <v>63</v>
      </c>
      <c r="E32" s="14" t="s">
        <v>64</v>
      </c>
      <c r="F32" s="14" t="s">
        <v>65</v>
      </c>
      <c r="G32" s="14" t="s">
        <v>66</v>
      </c>
      <c r="H32" s="14" t="s">
        <v>67</v>
      </c>
      <c r="I32" s="14" t="s">
        <v>68</v>
      </c>
    </row>
    <row r="33" spans="1:9" x14ac:dyDescent="0.2">
      <c r="A33" s="5" t="s">
        <v>120</v>
      </c>
      <c r="C33" s="27">
        <f>'Fin-Forecast'!G32</f>
        <v>16158.507650000001</v>
      </c>
      <c r="D33" s="27">
        <f>'Fin-Forecast'!H32</f>
        <v>17461.097460000001</v>
      </c>
      <c r="E33" s="27">
        <f>'Fin-Forecast'!I32</f>
        <v>18617.272859879995</v>
      </c>
      <c r="F33" s="27">
        <f>'Fin-Forecast'!J32</f>
        <v>19661.199048839997</v>
      </c>
      <c r="G33" s="27">
        <f>'Fin-Forecast'!K32</f>
        <v>20508.012151799394</v>
      </c>
      <c r="H33" s="27">
        <f>'Fin-Forecast'!L32</f>
        <v>21267.889918853376</v>
      </c>
      <c r="I33" s="27">
        <f>'Fin-Forecast'!M32</f>
        <v>22048.269018918982</v>
      </c>
    </row>
    <row r="34" spans="1:9" x14ac:dyDescent="0.2">
      <c r="A34" s="5" t="s">
        <v>287</v>
      </c>
      <c r="C34" s="27">
        <f>'Fin-Capital'!F20</f>
        <v>-3270</v>
      </c>
      <c r="D34" s="27">
        <f>'Fin-Capital'!G20</f>
        <v>-1549.8380021739122</v>
      </c>
      <c r="E34" s="27">
        <f>'Fin-Capital'!H20</f>
        <v>845.56980387755175</v>
      </c>
      <c r="F34" s="27">
        <f>'Fin-Capital'!I20</f>
        <v>3737.5197813604409</v>
      </c>
      <c r="G34" s="27">
        <f>'Fin-Capital'!J20</f>
        <v>6981.7811564456188</v>
      </c>
      <c r="H34" s="27">
        <f>'Fin-Capital'!K20</f>
        <v>10349.533309642198</v>
      </c>
      <c r="I34" s="27">
        <f>'Fin-Capital'!L20</f>
        <v>13705.10251451693</v>
      </c>
    </row>
    <row r="35" spans="1:9" x14ac:dyDescent="0.2">
      <c r="A35" s="5" t="s">
        <v>288</v>
      </c>
      <c r="C35" s="33">
        <f t="shared" ref="C35:I35" si="3">$B$6*C34</f>
        <v>-263.23500000000001</v>
      </c>
      <c r="D35" s="33">
        <f t="shared" si="3"/>
        <v>-124.76195917499993</v>
      </c>
      <c r="E35" s="33">
        <f t="shared" si="3"/>
        <v>68.068369212142912</v>
      </c>
      <c r="F35" s="33">
        <f t="shared" si="3"/>
        <v>300.87034239951549</v>
      </c>
      <c r="G35" s="33">
        <f t="shared" si="3"/>
        <v>562.03338309387232</v>
      </c>
      <c r="H35" s="33">
        <f t="shared" si="3"/>
        <v>833.13743142619694</v>
      </c>
      <c r="I35" s="33">
        <f t="shared" si="3"/>
        <v>1103.2607524186128</v>
      </c>
    </row>
    <row r="36" spans="1:9" x14ac:dyDescent="0.2">
      <c r="A36" s="5" t="s">
        <v>52</v>
      </c>
      <c r="C36" s="33">
        <f t="shared" ref="C36:I36" si="4">C33-C35</f>
        <v>16421.74265</v>
      </c>
      <c r="D36" s="33">
        <f t="shared" si="4"/>
        <v>17585.859419175002</v>
      </c>
      <c r="E36" s="33">
        <f t="shared" si="4"/>
        <v>18549.204490667853</v>
      </c>
      <c r="F36" s="33">
        <f t="shared" si="4"/>
        <v>19360.328706440483</v>
      </c>
      <c r="G36" s="33">
        <f t="shared" si="4"/>
        <v>19945.978768705521</v>
      </c>
      <c r="H36" s="33">
        <f t="shared" si="4"/>
        <v>20434.75248742718</v>
      </c>
      <c r="I36" s="33">
        <f t="shared" si="4"/>
        <v>20945.008266500368</v>
      </c>
    </row>
    <row r="37" spans="1:9" x14ac:dyDescent="0.2">
      <c r="A37" s="5" t="s">
        <v>264</v>
      </c>
      <c r="C37" s="45">
        <f>1/(1+$B$6)^1</f>
        <v>0.92549745488199908</v>
      </c>
      <c r="D37" s="45">
        <f>1/(1+$B$6)^2</f>
        <v>0.85654553899305785</v>
      </c>
      <c r="E37" s="45">
        <f>1/(1+$B$6)^3</f>
        <v>0.79273071632860515</v>
      </c>
      <c r="F37" s="45">
        <f>1/(1+$B$6)^4</f>
        <v>0.73367026036890803</v>
      </c>
      <c r="G37" s="45">
        <f>1/(1+$B$6)^5</f>
        <v>0.67900995869403802</v>
      </c>
      <c r="H37" s="45">
        <f>1/(1+$B$6)^6</f>
        <v>0.6284219886108634</v>
      </c>
      <c r="I37" s="45">
        <f>1/(1+$B$6)^7</f>
        <v>0.58160295105123871</v>
      </c>
    </row>
    <row r="38" spans="1:9" x14ac:dyDescent="0.2">
      <c r="A38" s="5" t="s">
        <v>289</v>
      </c>
      <c r="C38" s="33">
        <f t="shared" ref="C38:I38" si="5">C36*C37</f>
        <v>15198.281027302175</v>
      </c>
      <c r="D38" s="33">
        <f t="shared" si="5"/>
        <v>15063.089434853395</v>
      </c>
      <c r="E38" s="33">
        <f t="shared" si="5"/>
        <v>14704.524163212907</v>
      </c>
      <c r="F38" s="33">
        <f t="shared" si="5"/>
        <v>14204.097402881835</v>
      </c>
      <c r="G38" s="33">
        <f t="shared" si="5"/>
        <v>13543.518219850896</v>
      </c>
      <c r="H38" s="33">
        <f t="shared" si="5"/>
        <v>12841.647794919776</v>
      </c>
      <c r="I38" s="33">
        <f t="shared" si="5"/>
        <v>12181.678617589205</v>
      </c>
    </row>
    <row r="40" spans="1:9" x14ac:dyDescent="0.2">
      <c r="A40" s="10" t="s">
        <v>290</v>
      </c>
      <c r="B40" s="33">
        <f>SUM(C38:I38)</f>
        <v>97736.836660610192</v>
      </c>
    </row>
    <row r="41" spans="1:9" x14ac:dyDescent="0.2">
      <c r="A41" s="5" t="s">
        <v>291</v>
      </c>
      <c r="B41" s="33">
        <f>I36*(1+B7)</f>
        <v>21573.358514495379</v>
      </c>
    </row>
    <row r="42" spans="1:9" x14ac:dyDescent="0.2">
      <c r="A42" s="5" t="s">
        <v>292</v>
      </c>
      <c r="B42" s="33">
        <f>B41/(B6-B7)*I37</f>
        <v>248457.99952706692</v>
      </c>
    </row>
    <row r="43" spans="1:9" x14ac:dyDescent="0.2">
      <c r="A43" s="10" t="s">
        <v>293</v>
      </c>
      <c r="B43" s="33">
        <f>B9+B40+B42</f>
        <v>342924.83618767711</v>
      </c>
    </row>
    <row r="44" spans="1:9" x14ac:dyDescent="0.2">
      <c r="A44" s="10" t="s">
        <v>294</v>
      </c>
      <c r="B44" s="11">
        <f>B43/B11</f>
        <v>193.41502323050034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A1:B18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2" ht="16" x14ac:dyDescent="0.2">
      <c r="A1" s="7" t="s">
        <v>295</v>
      </c>
    </row>
    <row r="2" spans="1:2" x14ac:dyDescent="0.2">
      <c r="A2" s="6" t="s">
        <v>296</v>
      </c>
    </row>
    <row r="4" spans="1:2" x14ac:dyDescent="0.2">
      <c r="A4" s="4" t="s">
        <v>297</v>
      </c>
    </row>
    <row r="5" spans="1:2" x14ac:dyDescent="0.2">
      <c r="A5" s="5" t="s">
        <v>298</v>
      </c>
      <c r="B5" s="27">
        <f>'DCF-FCFF'!B28</f>
        <v>324783.11173046951</v>
      </c>
    </row>
    <row r="6" spans="1:2" x14ac:dyDescent="0.2">
      <c r="A6" s="5" t="s">
        <v>299</v>
      </c>
      <c r="B6" s="27">
        <f>'Fin-Capital'!F6</f>
        <v>5257</v>
      </c>
    </row>
    <row r="7" spans="1:2" x14ac:dyDescent="0.2">
      <c r="A7" s="10" t="s">
        <v>300</v>
      </c>
      <c r="B7" s="33">
        <f>B5+B6</f>
        <v>330040.11173046951</v>
      </c>
    </row>
    <row r="9" spans="1:2" x14ac:dyDescent="0.2">
      <c r="A9" s="4" t="s">
        <v>301</v>
      </c>
    </row>
    <row r="10" spans="1:2" x14ac:dyDescent="0.2">
      <c r="A10" s="5" t="s">
        <v>302</v>
      </c>
      <c r="B10" s="27">
        <f>'Fin-Capital'!F18</f>
        <v>68379</v>
      </c>
    </row>
    <row r="11" spans="1:2" x14ac:dyDescent="0.2">
      <c r="A11" s="5" t="s">
        <v>303</v>
      </c>
      <c r="B11" s="27">
        <f>'Fin-Capital'!F19</f>
        <v>57655.547945205501</v>
      </c>
    </row>
    <row r="12" spans="1:2" x14ac:dyDescent="0.2">
      <c r="A12" s="10" t="s">
        <v>304</v>
      </c>
      <c r="B12" s="33">
        <f>B7-B10-B11</f>
        <v>204005.56378526401</v>
      </c>
    </row>
    <row r="14" spans="1:2" x14ac:dyDescent="0.2">
      <c r="A14" s="4" t="s">
        <v>305</v>
      </c>
    </row>
    <row r="15" spans="1:2" x14ac:dyDescent="0.2">
      <c r="A15" s="5" t="s">
        <v>304</v>
      </c>
      <c r="B15" s="33">
        <f>B12</f>
        <v>204005.56378526401</v>
      </c>
    </row>
    <row r="16" spans="1:2" x14ac:dyDescent="0.2">
      <c r="A16" s="5" t="s">
        <v>306</v>
      </c>
      <c r="B16" s="27">
        <f>'Fin-Capital'!F20</f>
        <v>-3270</v>
      </c>
    </row>
    <row r="17" spans="1:2" x14ac:dyDescent="0.2">
      <c r="A17" s="10" t="s">
        <v>307</v>
      </c>
      <c r="B17" s="33">
        <f>B12-B16</f>
        <v>207275.56378526401</v>
      </c>
    </row>
    <row r="18" spans="1:2" x14ac:dyDescent="0.2">
      <c r="A18" s="10" t="s">
        <v>308</v>
      </c>
      <c r="B18" s="11">
        <f>B12/Drivers!D9</f>
        <v>115.06235972096108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D25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12" width="15" customWidth="1"/>
  </cols>
  <sheetData>
    <row r="1" spans="1:4" ht="16" x14ac:dyDescent="0.2">
      <c r="A1" s="7" t="s">
        <v>309</v>
      </c>
    </row>
    <row r="2" spans="1:4" x14ac:dyDescent="0.2">
      <c r="A2" s="6" t="s">
        <v>310</v>
      </c>
    </row>
    <row r="4" spans="1:4" x14ac:dyDescent="0.2">
      <c r="A4" s="4" t="s">
        <v>311</v>
      </c>
    </row>
    <row r="5" spans="1:4" x14ac:dyDescent="0.2">
      <c r="A5" s="5" t="s">
        <v>312</v>
      </c>
      <c r="B5" s="27">
        <f>Drivers!D12</f>
        <v>461639.21</v>
      </c>
    </row>
    <row r="6" spans="1:4" x14ac:dyDescent="0.2">
      <c r="A6" s="5" t="s">
        <v>313</v>
      </c>
      <c r="B6" s="27">
        <f>'Fin-Forecast'!G25*1.39</f>
        <v>30638.468960000002</v>
      </c>
    </row>
    <row r="7" spans="1:4" x14ac:dyDescent="0.2">
      <c r="A7" s="5" t="s">
        <v>314</v>
      </c>
      <c r="B7" s="9">
        <f>'Fin-Forecast'!G35</f>
        <v>9.1585715751989945</v>
      </c>
    </row>
    <row r="9" spans="1:4" x14ac:dyDescent="0.2">
      <c r="A9" s="4" t="s">
        <v>315</v>
      </c>
    </row>
    <row r="10" spans="1:4" x14ac:dyDescent="0.2">
      <c r="A10" s="14" t="s">
        <v>46</v>
      </c>
      <c r="B10" s="14" t="s">
        <v>316</v>
      </c>
      <c r="C10" s="14" t="s">
        <v>47</v>
      </c>
      <c r="D10" s="14" t="s">
        <v>48</v>
      </c>
    </row>
    <row r="11" spans="1:4" x14ac:dyDescent="0.2">
      <c r="A11" s="5" t="s">
        <v>317</v>
      </c>
      <c r="B11" s="42">
        <f>Drivers!D48</f>
        <v>11</v>
      </c>
      <c r="C11" s="11">
        <f>(B6*B11-Drivers!D10)/Drivers!D9</f>
        <v>154.48457899605191</v>
      </c>
      <c r="D11" s="12">
        <f>C11/Drivers!D8-1</f>
        <v>-0.31269929707678112</v>
      </c>
    </row>
    <row r="12" spans="1:4" x14ac:dyDescent="0.2">
      <c r="A12" s="5" t="s">
        <v>318</v>
      </c>
      <c r="B12" s="42">
        <f>Drivers!D49</f>
        <v>16</v>
      </c>
      <c r="C12" s="11">
        <f>(B6*B12-Drivers!D10)/Drivers!D9</f>
        <v>240.88748074450086</v>
      </c>
      <c r="D12" s="12">
        <f>C12/Drivers!D8-1</f>
        <v>7.1706547779956553E-2</v>
      </c>
    </row>
    <row r="13" spans="1:4" x14ac:dyDescent="0.2">
      <c r="A13" s="5" t="s">
        <v>319</v>
      </c>
      <c r="B13" s="42">
        <f>Drivers!D50</f>
        <v>12</v>
      </c>
      <c r="C13" s="11">
        <f>B7*B13</f>
        <v>109.90285890238793</v>
      </c>
      <c r="D13" s="12">
        <f>C13/Drivers!D8-1</f>
        <v>-0.51104302663884005</v>
      </c>
    </row>
    <row r="14" spans="1:4" x14ac:dyDescent="0.2">
      <c r="A14" s="5" t="s">
        <v>320</v>
      </c>
      <c r="B14" s="42">
        <f>Drivers!D51</f>
        <v>20</v>
      </c>
      <c r="C14" s="11">
        <f>B7*B14</f>
        <v>183.17143150397987</v>
      </c>
      <c r="D14" s="12">
        <f>C14/Drivers!D8-1</f>
        <v>-0.18507171106473341</v>
      </c>
    </row>
    <row r="15" spans="1:4" x14ac:dyDescent="0.2">
      <c r="A15" s="10" t="s">
        <v>321</v>
      </c>
      <c r="C15" s="11">
        <f>AVERAGE(C11,C12,C13,C14)</f>
        <v>172.11158753673016</v>
      </c>
    </row>
    <row r="17" spans="1:4" x14ac:dyDescent="0.2">
      <c r="A17" s="4" t="s">
        <v>322</v>
      </c>
    </row>
    <row r="18" spans="1:4" x14ac:dyDescent="0.2">
      <c r="A18" s="14" t="s">
        <v>323</v>
      </c>
      <c r="B18" s="14" t="s">
        <v>324</v>
      </c>
      <c r="C18" s="14" t="s">
        <v>325</v>
      </c>
      <c r="D18" s="14" t="s">
        <v>178</v>
      </c>
    </row>
    <row r="19" spans="1:4" x14ac:dyDescent="0.2">
      <c r="A19" s="5" t="s">
        <v>326</v>
      </c>
      <c r="B19" s="24">
        <v>16.100000000000001</v>
      </c>
      <c r="C19" s="24">
        <v>17</v>
      </c>
      <c r="D19" s="46" t="s">
        <v>327</v>
      </c>
    </row>
    <row r="20" spans="1:4" x14ac:dyDescent="0.2">
      <c r="A20" s="5" t="s">
        <v>328</v>
      </c>
      <c r="B20" s="24">
        <v>28</v>
      </c>
      <c r="C20" s="24">
        <v>32</v>
      </c>
      <c r="D20" s="46" t="s">
        <v>329</v>
      </c>
    </row>
    <row r="21" spans="1:4" x14ac:dyDescent="0.2">
      <c r="A21" s="5" t="s">
        <v>330</v>
      </c>
      <c r="B21" s="24">
        <v>14</v>
      </c>
      <c r="C21" s="24">
        <v>15.5</v>
      </c>
      <c r="D21" s="46" t="s">
        <v>331</v>
      </c>
    </row>
    <row r="22" spans="1:4" x14ac:dyDescent="0.2">
      <c r="A22" s="5" t="s">
        <v>332</v>
      </c>
      <c r="B22" s="24">
        <v>11</v>
      </c>
      <c r="C22" s="24">
        <v>12.5</v>
      </c>
      <c r="D22" s="46" t="s">
        <v>333</v>
      </c>
    </row>
    <row r="23" spans="1:4" x14ac:dyDescent="0.2">
      <c r="A23" s="5" t="s">
        <v>334</v>
      </c>
      <c r="B23" s="24">
        <v>8.5</v>
      </c>
      <c r="C23" s="24">
        <v>10.5</v>
      </c>
      <c r="D23" s="46" t="s">
        <v>335</v>
      </c>
    </row>
    <row r="24" spans="1:4" x14ac:dyDescent="0.2">
      <c r="A24" s="5" t="s">
        <v>336</v>
      </c>
      <c r="B24" s="24">
        <v>7.5</v>
      </c>
      <c r="C24" s="24">
        <v>8.5</v>
      </c>
      <c r="D24" s="46" t="s">
        <v>337</v>
      </c>
    </row>
    <row r="25" spans="1:4" x14ac:dyDescent="0.2">
      <c r="A25" s="5" t="s">
        <v>338</v>
      </c>
      <c r="B25" s="24">
        <v>12</v>
      </c>
      <c r="C25" s="24">
        <v>14</v>
      </c>
      <c r="D25" s="46" t="s">
        <v>339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H79"/>
  <sheetViews>
    <sheetView showGridLines="0" tabSelected="1" topLeftCell="A18" zoomScale="116" zoomScaleNormal="100" workbookViewId="0">
      <selection activeCell="I19" sqref="I19"/>
    </sheetView>
  </sheetViews>
  <sheetFormatPr baseColWidth="10" defaultColWidth="8.6640625" defaultRowHeight="15" x14ac:dyDescent="0.2"/>
  <cols>
    <col min="1" max="1" width="28" customWidth="1"/>
    <col min="2" max="11" width="12" customWidth="1"/>
  </cols>
  <sheetData>
    <row r="1" spans="1:8" ht="16" x14ac:dyDescent="0.2">
      <c r="A1" s="7" t="s">
        <v>340</v>
      </c>
    </row>
    <row r="2" spans="1:8" x14ac:dyDescent="0.2">
      <c r="A2" s="6" t="s">
        <v>341</v>
      </c>
    </row>
    <row r="4" spans="1:8" x14ac:dyDescent="0.2">
      <c r="A4" s="4" t="s">
        <v>342</v>
      </c>
    </row>
    <row r="5" spans="1:8" x14ac:dyDescent="0.2">
      <c r="A5" s="13" t="s">
        <v>343</v>
      </c>
      <c r="B5" s="14" t="s">
        <v>344</v>
      </c>
      <c r="C5" s="14" t="s">
        <v>345</v>
      </c>
      <c r="D5" s="14" t="s">
        <v>346</v>
      </c>
      <c r="E5" s="14" t="s">
        <v>347</v>
      </c>
      <c r="F5" s="14" t="s">
        <v>348</v>
      </c>
      <c r="G5" s="14" t="s">
        <v>349</v>
      </c>
      <c r="H5" s="14" t="s">
        <v>350</v>
      </c>
    </row>
    <row r="6" spans="1:8" x14ac:dyDescent="0.2">
      <c r="A6" s="21" t="s">
        <v>351</v>
      </c>
      <c r="B6" s="11">
        <f>('Fin-FCF'!G22/(1+0.065)^1+'Fin-FCF'!H22/(1+0.065)^2+'Fin-FCF'!I22/(1+0.065)^3+'Fin-FCF'!J22/(1+0.065)^4+'Fin-FCF'!K22/(1+0.065)^5+'Fin-FCF'!L22/(1+0.065)^6+'Fin-FCF'!M22/(1+0.065)^7+('Fin-FCF'!M22*(1+0.02)/(0.065-0.02))/(1+0.065)^7-Drivers!D10)/Drivers!D9</f>
        <v>173.05210423588093</v>
      </c>
      <c r="C6" s="11">
        <f>('Fin-FCF'!G22/(1+0.07)^1+'Fin-FCF'!H22/(1+0.07)^2+'Fin-FCF'!I22/(1+0.07)^3+'Fin-FCF'!J22/(1+0.07)^4+'Fin-FCF'!K22/(1+0.07)^5+'Fin-FCF'!L22/(1+0.07)^6+'Fin-FCF'!M22/(1+0.07)^7+('Fin-FCF'!M22*(1+0.02)/(0.07-0.02))/(1+0.07)^7-Drivers!D10)/Drivers!D9</f>
        <v>151.45192159523958</v>
      </c>
      <c r="D6" s="11">
        <f>('Fin-FCF'!G22/(1+0.075)^1+'Fin-FCF'!H22/(1+0.075)^2+'Fin-FCF'!I22/(1+0.075)^3+'Fin-FCF'!J22/(1+0.075)^4+'Fin-FCF'!K22/(1+0.075)^5+'Fin-FCF'!L22/(1+0.075)^6+'Fin-FCF'!M22/(1+0.075)^7+('Fin-FCF'!M22*(1+0.02)/(0.075-0.02))/(1+0.075)^7-Drivers!D10)/Drivers!D9</f>
        <v>133.79258083079125</v>
      </c>
      <c r="E6" s="11">
        <f>('Fin-FCF'!G22/(1+0.08)^1+'Fin-FCF'!H22/(1+0.08)^2+'Fin-FCF'!I22/(1+0.08)^3+'Fin-FCF'!J22/(1+0.08)^4+'Fin-FCF'!K22/(1+0.08)^5+'Fin-FCF'!L22/(1+0.08)^6+'Fin-FCF'!M22/(1+0.08)^7+('Fin-FCF'!M22*(1+0.02)/(0.08-0.02))/(1+0.08)^7-Drivers!D10)/Drivers!D9</f>
        <v>119.08853503338158</v>
      </c>
      <c r="F6" s="11">
        <f>('Fin-FCF'!G22/(1+0.085)^1+'Fin-FCF'!H22/(1+0.085)^2+'Fin-FCF'!I22/(1+0.085)^3+'Fin-FCF'!J22/(1+0.085)^4+'Fin-FCF'!K22/(1+0.085)^5+'Fin-FCF'!L22/(1+0.085)^6+'Fin-FCF'!M22/(1+0.085)^7+('Fin-FCF'!M22*(1+0.02)/(0.085-0.02))/(1+0.085)^7-Drivers!D10)/Drivers!D9</f>
        <v>106.65749274491473</v>
      </c>
      <c r="G6" s="11">
        <f>('Fin-FCF'!G22/(1+0.09)^1+'Fin-FCF'!H22/(1+0.09)^2+'Fin-FCF'!I22/(1+0.09)^3+'Fin-FCF'!J22/(1+0.09)^4+'Fin-FCF'!K22/(1+0.09)^5+'Fin-FCF'!L22/(1+0.09)^6+'Fin-FCF'!M22/(1+0.09)^7+('Fin-FCF'!M22*(1+0.02)/(0.09-0.02))/(1+0.09)^7-Drivers!D10)/Drivers!D9</f>
        <v>96.012112075082982</v>
      </c>
      <c r="H6" s="11">
        <f>('Fin-FCF'!G22/(1+0.095)^1+'Fin-FCF'!H22/(1+0.095)^2+'Fin-FCF'!I22/(1+0.095)^3+'Fin-FCF'!J22/(1+0.095)^4+'Fin-FCF'!K22/(1+0.095)^5+'Fin-FCF'!L22/(1+0.095)^6+'Fin-FCF'!M22/(1+0.095)^7+('Fin-FCF'!M22*(1+0.02)/(0.095-0.02))/(1+0.095)^7-Drivers!D10)/Drivers!D9</f>
        <v>86.795017186192965</v>
      </c>
    </row>
    <row r="7" spans="1:8" x14ac:dyDescent="0.2">
      <c r="A7" s="21" t="s">
        <v>352</v>
      </c>
      <c r="B7" s="11">
        <f>('Fin-FCF'!G22/(1+0.065)^1+'Fin-FCF'!H22/(1+0.065)^2+'Fin-FCF'!I22/(1+0.065)^3+'Fin-FCF'!J22/(1+0.065)^4+'Fin-FCF'!K22/(1+0.065)^5+'Fin-FCF'!L22/(1+0.065)^6+'Fin-FCF'!M22/(1+0.065)^7+('Fin-FCF'!M22*(1+0.025)/(0.065-0.025))/(1+0.065)^7-Drivers!D10)/Drivers!D9</f>
        <v>193.97056303207827</v>
      </c>
      <c r="C7" s="11">
        <f>('Fin-FCF'!G22/(1+0.07)^1+'Fin-FCF'!H22/(1+0.07)^2+'Fin-FCF'!I22/(1+0.07)^3+'Fin-FCF'!J22/(1+0.07)^4+'Fin-FCF'!K22/(1+0.07)^5+'Fin-FCF'!L22/(1+0.07)^6+'Fin-FCF'!M22/(1+0.07)^7+('Fin-FCF'!M22*(1+0.025)/(0.07-0.025))/(1+0.07)^7-Drivers!D10)/Drivers!D9</f>
        <v>167.72293682208829</v>
      </c>
      <c r="D7" s="11">
        <f>('Fin-FCF'!G22/(1+0.075)^1+'Fin-FCF'!H22/(1+0.075)^2+'Fin-FCF'!I22/(1+0.075)^3+'Fin-FCF'!J22/(1+0.075)^4+'Fin-FCF'!K22/(1+0.075)^5+'Fin-FCF'!L22/(1+0.075)^6+'Fin-FCF'!M22/(1+0.075)^7+('Fin-FCF'!M22*(1+0.025)/(0.075-0.025))/(1+0.075)^7-Drivers!D10)/Drivers!D9</f>
        <v>146.73800712551071</v>
      </c>
      <c r="E7" s="11">
        <f>('Fin-FCF'!G22/(1+0.08)^1+'Fin-FCF'!H22/(1+0.08)^2+'Fin-FCF'!I22/(1+0.08)^3+'Fin-FCF'!J22/(1+0.08)^4+'Fin-FCF'!K22/(1+0.08)^5+'Fin-FCF'!L22/(1+0.08)^6+'Fin-FCF'!M22/(1+0.08)^7+('Fin-FCF'!M22*(1+0.025)/(0.08-0.025))/(1+0.08)^7-Drivers!D10)/Drivers!D9</f>
        <v>129.58017461576094</v>
      </c>
      <c r="F7" s="11">
        <f>('Fin-FCF'!G22/(1+0.085)^1+'Fin-FCF'!H22/(1+0.085)^2+'Fin-FCF'!I22/(1+0.085)^3+'Fin-FCF'!J22/(1+0.085)^4+'Fin-FCF'!K22/(1+0.085)^5+'Fin-FCF'!L22/(1+0.085)^6+'Fin-FCF'!M22/(1+0.085)^7+('Fin-FCF'!M22*(1+0.025)/(0.085-0.025))/(1+0.085)^7-Drivers!D10)/Drivers!D9</f>
        <v>115.29238254881027</v>
      </c>
      <c r="G7" s="11">
        <f>('Fin-FCF'!G22/(1+0.09)^1+'Fin-FCF'!H22/(1+0.09)^2+'Fin-FCF'!I22/(1+0.09)^3+'Fin-FCF'!J22/(1+0.09)^4+'Fin-FCF'!K22/(1+0.09)^5+'Fin-FCF'!L22/(1+0.09)^6+'Fin-FCF'!M22/(1+0.09)^7+('Fin-FCF'!M22*(1+0.025)/(0.09-0.025))/(1+0.09)^7-Drivers!D10)/Drivers!D9</f>
        <v>103.2120615932681</v>
      </c>
      <c r="H7" s="11">
        <f>('Fin-FCF'!G22/(1+0.095)^1+'Fin-FCF'!H22/(1+0.095)^2+'Fin-FCF'!I22/(1+0.095)^3+'Fin-FCF'!J22/(1+0.095)^4+'Fin-FCF'!K22/(1+0.095)^5+'Fin-FCF'!L22/(1+0.095)^6+'Fin-FCF'!M22/(1+0.095)^7+('Fin-FCF'!M22*(1+0.025)/(0.095-0.025))/(1+0.095)^7-Drivers!D10)/Drivers!D9</f>
        <v>92.865955460711959</v>
      </c>
    </row>
    <row r="8" spans="1:8" x14ac:dyDescent="0.2">
      <c r="A8" s="21" t="s">
        <v>353</v>
      </c>
      <c r="B8" s="11">
        <f>('Fin-FCF'!G22/(1+0.065)^1+'Fin-FCF'!H22/(1+0.065)^2+'Fin-FCF'!I22/(1+0.065)^3+'Fin-FCF'!J22/(1+0.065)^4+'Fin-FCF'!K22/(1+0.065)^5+'Fin-FCF'!L22/(1+0.065)^6+'Fin-FCF'!M22/(1+0.065)^7+('Fin-FCF'!M22*(1+0.03)/(0.065-0.03))/(1+0.065)^7-Drivers!D10)/Drivers!D9</f>
        <v>220.8657243414749</v>
      </c>
      <c r="C8" s="11">
        <f>('Fin-FCF'!G22/(1+0.07)^1+'Fin-FCF'!H22/(1+0.07)^2+'Fin-FCF'!I22/(1+0.07)^3+'Fin-FCF'!J22/(1+0.07)^4+'Fin-FCF'!K22/(1+0.07)^5+'Fin-FCF'!L22/(1+0.07)^6+'Fin-FCF'!M22/(1+0.07)^7+('Fin-FCF'!M22*(1+0.03)/(0.07-0.03))/(1+0.07)^7-Drivers!D10)/Drivers!D9</f>
        <v>188.06170585564925</v>
      </c>
      <c r="D8" s="11">
        <f>('Fin-FCF'!G22/(1+0.075)^1+'Fin-FCF'!H22/(1+0.075)^2+'Fin-FCF'!I22/(1+0.075)^3+'Fin-FCF'!J22/(1+0.075)^4+'Fin-FCF'!K22/(1+0.075)^5+'Fin-FCF'!L22/(1+0.075)^6+'Fin-FCF'!M22/(1+0.075)^7+('Fin-FCF'!M22*(1+0.03)/(0.075-0.03))/(1+0.075)^7-Drivers!D10)/Drivers!D9</f>
        <v>162.5601948190567</v>
      </c>
      <c r="E8" s="11">
        <f>('Fin-FCF'!G22/(1+0.08)^1+'Fin-FCF'!H22/(1+0.08)^2+'Fin-FCF'!I22/(1+0.08)^3+'Fin-FCF'!J22/(1+0.08)^4+'Fin-FCF'!K22/(1+0.08)^5+'Fin-FCF'!L22/(1+0.08)^6+'Fin-FCF'!M22/(1+0.08)^7+('Fin-FCF'!M22*(1+0.03)/(0.08-0.03))/(1+0.08)^7-Drivers!D10)/Drivers!D9</f>
        <v>142.17014211461623</v>
      </c>
      <c r="F8" s="11">
        <f>('Fin-FCF'!G22/(1+0.085)^1+'Fin-FCF'!H22/(1+0.085)^2+'Fin-FCF'!I22/(1+0.085)^3+'Fin-FCF'!J22/(1+0.085)^4+'Fin-FCF'!K22/(1+0.085)^5+'Fin-FCF'!L22/(1+0.085)^6+'Fin-FCF'!M22/(1+0.085)^7+('Fin-FCF'!M22*(1+0.03)/(0.085-0.03))/(1+0.085)^7-Drivers!D10)/Drivers!D9</f>
        <v>125.49725231705045</v>
      </c>
      <c r="G8" s="11">
        <f>('Fin-FCF'!G22/(1+0.09)^1+'Fin-FCF'!H22/(1+0.09)^2+'Fin-FCF'!I22/(1+0.09)^3+'Fin-FCF'!J22/(1+0.09)^4+'Fin-FCF'!K22/(1+0.09)^5+'Fin-FCF'!L22/(1+0.09)^6+'Fin-FCF'!M22/(1+0.09)^7+('Fin-FCF'!M22*(1+0.03)/(0.09-0.03))/(1+0.09)^7-Drivers!D10)/Drivers!D9</f>
        <v>111.61200269781747</v>
      </c>
      <c r="H8" s="11">
        <f>('Fin-FCF'!G22/(1+0.095)^1+'Fin-FCF'!H22/(1+0.095)^2+'Fin-FCF'!I22/(1+0.095)^3+'Fin-FCF'!J22/(1+0.095)^4+'Fin-FCF'!K22/(1+0.095)^5+'Fin-FCF'!L22/(1+0.095)^6+'Fin-FCF'!M22/(1+0.095)^7+('Fin-FCF'!M22*(1+0.03)/(0.095-0.03))/(1+0.095)^7-Drivers!D10)/Drivers!D9</f>
        <v>99.870884239003161</v>
      </c>
    </row>
    <row r="9" spans="1:8" x14ac:dyDescent="0.2">
      <c r="A9" s="21" t="s">
        <v>354</v>
      </c>
      <c r="B9" s="11">
        <f>('Fin-FCF'!G22/(1+0.065)^1+'Fin-FCF'!H22/(1+0.065)^2+'Fin-FCF'!I22/(1+0.065)^3+'Fin-FCF'!J22/(1+0.065)^4+'Fin-FCF'!K22/(1+0.065)^5+'Fin-FCF'!L22/(1+0.065)^6+'Fin-FCF'!M22/(1+0.065)^7+('Fin-FCF'!M22*(1+0.035)/(0.065-0.035))/(1+0.065)^7-Drivers!D10)/Drivers!D9</f>
        <v>256.7259394206705</v>
      </c>
      <c r="C9" s="11">
        <f>('Fin-FCF'!G22/(1+0.07)^1+'Fin-FCF'!H22/(1+0.07)^2+'Fin-FCF'!I22/(1+0.07)^3+'Fin-FCF'!J22/(1+0.07)^4+'Fin-FCF'!K22/(1+0.07)^5+'Fin-FCF'!L22/(1+0.07)^6+'Fin-FCF'!M22/(1+0.07)^7+('Fin-FCF'!M22*(1+0.035)/(0.07-0.035))/(1+0.07)^7-Drivers!D10)/Drivers!D9</f>
        <v>214.21155175594188</v>
      </c>
      <c r="D9" s="11">
        <f>('Fin-FCF'!G22/(1+0.075)^1+'Fin-FCF'!H22/(1+0.075)^2+'Fin-FCF'!I22/(1+0.075)^3+'Fin-FCF'!J22/(1+0.075)^4+'Fin-FCF'!K22/(1+0.075)^5+'Fin-FCF'!L22/(1+0.075)^6+'Fin-FCF'!M22/(1+0.075)^7+('Fin-FCF'!M22*(1+0.035)/(0.075-0.035))/(1+0.075)^7-Drivers!D10)/Drivers!D9</f>
        <v>182.33792943598922</v>
      </c>
      <c r="E9" s="11">
        <f>('Fin-FCF'!G22/(1+0.08)^1+'Fin-FCF'!H22/(1+0.08)^2+'Fin-FCF'!I22/(1+0.08)^3+'Fin-FCF'!J22/(1+0.08)^4+'Fin-FCF'!K22/(1+0.08)^5+'Fin-FCF'!L22/(1+0.08)^6+'Fin-FCF'!M22/(1+0.08)^7+('Fin-FCF'!M22*(1+0.035)/(0.08-0.035))/(1+0.08)^7-Drivers!D10)/Drivers!D9</f>
        <v>157.55788016877267</v>
      </c>
      <c r="F9" s="11">
        <f>('Fin-FCF'!G22/(1+0.085)^1+'Fin-FCF'!H22/(1+0.085)^2+'Fin-FCF'!I22/(1+0.085)^3+'Fin-FCF'!J22/(1+0.085)^4+'Fin-FCF'!K22/(1+0.085)^5+'Fin-FCF'!L22/(1+0.085)^6+'Fin-FCF'!M22/(1+0.085)^7+('Fin-FCF'!M22*(1+0.035)/(0.085-0.035))/(1+0.085)^7-Drivers!D10)/Drivers!D9</f>
        <v>137.74309603893875</v>
      </c>
      <c r="G9" s="11">
        <f>('Fin-FCF'!G22/(1+0.09)^1+'Fin-FCF'!H22/(1+0.09)^2+'Fin-FCF'!I22/(1+0.09)^3+'Fin-FCF'!J22/(1+0.09)^4+'Fin-FCF'!K22/(1+0.09)^5+'Fin-FCF'!L22/(1+0.09)^6+'Fin-FCF'!M22/(1+0.09)^7+('Fin-FCF'!M22*(1+0.035)/(0.09-0.035))/(1+0.09)^7-Drivers!D10)/Drivers!D9</f>
        <v>121.53920582137579</v>
      </c>
      <c r="H9" s="11">
        <f>('Fin-FCF'!G22/(1+0.095)^1+'Fin-FCF'!H22/(1+0.095)^2+'Fin-FCF'!I22/(1+0.095)^3+'Fin-FCF'!J22/(1+0.095)^4+'Fin-FCF'!K22/(1+0.095)^5+'Fin-FCF'!L22/(1+0.095)^6+'Fin-FCF'!M22/(1+0.095)^7+('Fin-FCF'!M22*(1+0.035)/(0.095-0.035))/(1+0.095)^7-Drivers!D10)/Drivers!D9</f>
        <v>108.04330114700956</v>
      </c>
    </row>
    <row r="10" spans="1:8" x14ac:dyDescent="0.2">
      <c r="A10" s="21" t="s">
        <v>355</v>
      </c>
      <c r="B10" s="11">
        <f>('Fin-FCF'!G22/(1+0.065)^1+'Fin-FCF'!H22/(1+0.065)^2+'Fin-FCF'!I22/(1+0.065)^3+'Fin-FCF'!J22/(1+0.065)^4+'Fin-FCF'!K22/(1+0.065)^5+'Fin-FCF'!L22/(1+0.065)^6+'Fin-FCF'!M22/(1+0.065)^7+('Fin-FCF'!M22*(1+0.04)/(0.065-0.04))/(1+0.065)^7-Drivers!D10)/Drivers!D9</f>
        <v>306.93024053154426</v>
      </c>
      <c r="C10" s="11">
        <f>('Fin-FCF'!G22/(1+0.07)^1+'Fin-FCF'!H22/(1+0.07)^2+'Fin-FCF'!I22/(1+0.07)^3+'Fin-FCF'!J22/(1+0.07)^4+'Fin-FCF'!K22/(1+0.07)^5+'Fin-FCF'!L22/(1+0.07)^6+'Fin-FCF'!M22/(1+0.07)^7+('Fin-FCF'!M22*(1+0.04)/(0.07-0.04))/(1+0.07)^7-Drivers!D10)/Drivers!D9</f>
        <v>249.078012956332</v>
      </c>
      <c r="D10" s="11">
        <f>('Fin-FCF'!G22/(1+0.075)^1+'Fin-FCF'!H22/(1+0.075)^2+'Fin-FCF'!I22/(1+0.075)^3+'Fin-FCF'!J22/(1+0.075)^4+'Fin-FCF'!K22/(1+0.075)^5+'Fin-FCF'!L22/(1+0.075)^6+'Fin-FCF'!M22/(1+0.075)^7+('Fin-FCF'!M22*(1+0.04)/(0.075-0.04))/(1+0.075)^7-Drivers!D10)/Drivers!D9</f>
        <v>207.76644537204533</v>
      </c>
      <c r="E10" s="11">
        <f>('Fin-FCF'!G22/(1+0.08)^1+'Fin-FCF'!H22/(1+0.08)^2+'Fin-FCF'!I22/(1+0.08)^3+'Fin-FCF'!J22/(1+0.08)^4+'Fin-FCF'!K22/(1+0.08)^5+'Fin-FCF'!L22/(1+0.08)^6+'Fin-FCF'!M22/(1+0.08)^7+('Fin-FCF'!M22*(1+0.04)/(0.08-0.04))/(1+0.08)^7-Drivers!D10)/Drivers!D9</f>
        <v>176.79255273646825</v>
      </c>
      <c r="F10" s="11">
        <f>('Fin-FCF'!G22/(1+0.085)^1+'Fin-FCF'!H22/(1+0.085)^2+'Fin-FCF'!I22/(1+0.085)^3+'Fin-FCF'!J22/(1+0.085)^4+'Fin-FCF'!K22/(1+0.085)^5+'Fin-FCF'!L22/(1+0.085)^6+'Fin-FCF'!M22/(1+0.085)^7+('Fin-FCF'!M22*(1+0.04)/(0.085-0.04))/(1+0.085)^7-Drivers!D10)/Drivers!D9</f>
        <v>152.710238365691</v>
      </c>
      <c r="G10" s="11">
        <f>('Fin-FCF'!G22/(1+0.09)^1+'Fin-FCF'!H22/(1+0.09)^2+'Fin-FCF'!I22/(1+0.09)^3+'Fin-FCF'!J22/(1+0.09)^4+'Fin-FCF'!K22/(1+0.09)^5+'Fin-FCF'!L22/(1+0.09)^6+'Fin-FCF'!M22/(1+0.09)^7+('Fin-FCF'!M22*(1+0.04)/(0.09-0.04))/(1+0.09)^7-Drivers!D10)/Drivers!D9</f>
        <v>133.45184956964579</v>
      </c>
      <c r="H10" s="11">
        <f>('Fin-FCF'!G22/(1+0.095)^1+'Fin-FCF'!H22/(1+0.095)^2+'Fin-FCF'!I22/(1+0.095)^3+'Fin-FCF'!J22/(1+0.095)^4+'Fin-FCF'!K22/(1+0.095)^5+'Fin-FCF'!L22/(1+0.095)^6+'Fin-FCF'!M22/(1+0.095)^7+('Fin-FCF'!M22*(1+0.04)/(0.095-0.04))/(1+0.095)^7-Drivers!D10)/Drivers!D9</f>
        <v>117.70161203828982</v>
      </c>
    </row>
    <row r="13" spans="1:8" x14ac:dyDescent="0.2">
      <c r="A13" s="4" t="s">
        <v>356</v>
      </c>
    </row>
    <row r="14" spans="1:8" x14ac:dyDescent="0.2">
      <c r="A14" s="13" t="s">
        <v>357</v>
      </c>
      <c r="B14" s="14" t="s">
        <v>344</v>
      </c>
      <c r="C14" s="14" t="s">
        <v>345</v>
      </c>
      <c r="D14" s="14" t="s">
        <v>346</v>
      </c>
      <c r="E14" s="14" t="s">
        <v>347</v>
      </c>
      <c r="F14" s="14" t="s">
        <v>348</v>
      </c>
      <c r="G14" s="14" t="s">
        <v>349</v>
      </c>
      <c r="H14" s="14" t="s">
        <v>350</v>
      </c>
    </row>
    <row r="15" spans="1:8" x14ac:dyDescent="0.2">
      <c r="A15" s="24" t="s">
        <v>358</v>
      </c>
      <c r="B15" s="11">
        <f>('Fin-FCF'!G22/(1+0.065)^1+'Fin-FCF'!H22/(1+0.065)^2+'Fin-FCF'!I22/(1+0.065)^3+'Fin-FCF'!J22/(1+0.065)^4+'Fin-FCF'!K22/(1+0.065)^5+'Fin-FCF'!L22/(1+0.065)^6+'Fin-FCF'!M22/(1+0.065)^7+('Fin-Forecast'!M25*10)/(1+0.065)^7-Drivers!D10)/Drivers!D9</f>
        <v>115.96582142472602</v>
      </c>
      <c r="C15" s="11">
        <f>('Fin-FCF'!G22/(1+0.07)^1+'Fin-FCF'!H22/(1+0.07)^2+'Fin-FCF'!I22/(1+0.07)^3+'Fin-FCF'!J22/(1+0.07)^4+'Fin-FCF'!K22/(1+0.07)^5+'Fin-FCF'!L22/(1+0.07)^6+'Fin-FCF'!M22/(1+0.07)^7+('Fin-Forecast'!M25*10)/(1+0.07)^7-Drivers!D10)/Drivers!D9</f>
        <v>111.71766021587788</v>
      </c>
      <c r="D15" s="11">
        <f>('Fin-FCF'!G22/(1+0.075)^1+'Fin-FCF'!H22/(1+0.075)^2+'Fin-FCF'!I22/(1+0.075)^3+'Fin-FCF'!J22/(1+0.075)^4+'Fin-FCF'!K22/(1+0.075)^5+'Fin-FCF'!L22/(1+0.075)^6+'Fin-FCF'!M22/(1+0.075)^7+('Fin-Forecast'!M25*10)/(1+0.075)^7-Drivers!D10)/Drivers!D9</f>
        <v>107.61718325975608</v>
      </c>
      <c r="E15" s="11">
        <f>('Fin-FCF'!G22/(1+0.08)^1+'Fin-FCF'!H22/(1+0.08)^2+'Fin-FCF'!I22/(1+0.08)^3+'Fin-FCF'!J22/(1+0.08)^4+'Fin-FCF'!K22/(1+0.08)^5+'Fin-FCF'!L22/(1+0.08)^6+'Fin-FCF'!M22/(1+0.08)^7+('Fin-Forecast'!M25*10)/(1+0.08)^7-Drivers!D10)/Drivers!D9</f>
        <v>103.65849381819922</v>
      </c>
      <c r="F15" s="11">
        <f>('Fin-FCF'!G22/(1+0.085)^1+'Fin-FCF'!H22/(1+0.085)^2+'Fin-FCF'!I22/(1+0.085)^3+'Fin-FCF'!J22/(1+0.085)^4+'Fin-FCF'!K22/(1+0.085)^5+'Fin-FCF'!L22/(1+0.085)^6+'Fin-FCF'!M22/(1+0.085)^7+('Fin-Forecast'!M25*10)/(1+0.085)^7-Drivers!D10)/Drivers!D9</f>
        <v>99.83595841793219</v>
      </c>
      <c r="G15" s="11">
        <f>('Fin-FCF'!G22/(1+0.09)^1+'Fin-FCF'!H22/(1+0.09)^2+'Fin-FCF'!I22/(1+0.09)^3+'Fin-FCF'!J22/(1+0.09)^4+'Fin-FCF'!K22/(1+0.09)^5+'Fin-FCF'!L22/(1+0.09)^6+'Fin-FCF'!M22/(1+0.09)^7+('Fin-Forecast'!M25*10)/(1+0.09)^7-Drivers!D10)/Drivers!D9</f>
        <v>96.144193906783514</v>
      </c>
      <c r="H15" s="11">
        <f>('Fin-FCF'!G22/(1+0.095)^1+'Fin-FCF'!H22/(1+0.095)^2+'Fin-FCF'!I22/(1+0.095)^3+'Fin-FCF'!J22/(1+0.095)^4+'Fin-FCF'!K22/(1+0.095)^5+'Fin-FCF'!L22/(1+0.095)^6+'Fin-FCF'!M22/(1+0.095)^7+('Fin-Forecast'!M25*10)/(1+0.095)^7-Drivers!D10)/Drivers!D9</f>
        <v>92.578055203336604</v>
      </c>
    </row>
    <row r="16" spans="1:8" x14ac:dyDescent="0.2">
      <c r="A16" s="24" t="s">
        <v>359</v>
      </c>
      <c r="B16" s="11">
        <f>('Fin-FCF'!G22/(1+0.065)^1+'Fin-FCF'!H22/(1+0.065)^2+'Fin-FCF'!I22/(1+0.065)^3+'Fin-FCF'!J22/(1+0.065)^4+'Fin-FCF'!K22/(1+0.065)^5+'Fin-FCF'!L22/(1+0.065)^6+'Fin-FCF'!M22/(1+0.065)^7+('Fin-Forecast'!M25*11)/(1+0.065)^7-Drivers!D10)/Drivers!D9</f>
        <v>126.28485734802095</v>
      </c>
      <c r="C16" s="11">
        <f>('Fin-FCF'!G22/(1+0.07)^1+'Fin-FCF'!H22/(1+0.07)^2+'Fin-FCF'!I22/(1+0.07)^3+'Fin-FCF'!J22/(1+0.07)^4+'Fin-FCF'!K22/(1+0.07)^5+'Fin-FCF'!L22/(1+0.07)^6+'Fin-FCF'!M22/(1+0.07)^7+('Fin-Forecast'!M25*11)/(1+0.07)^7-Drivers!D10)/Drivers!D9</f>
        <v>121.70385274920072</v>
      </c>
      <c r="D16" s="11">
        <f>('Fin-FCF'!G22/(1+0.075)^1+'Fin-FCF'!H22/(1+0.075)^2+'Fin-FCF'!I22/(1+0.075)^3+'Fin-FCF'!J22/(1+0.075)^4+'Fin-FCF'!K22/(1+0.075)^5+'Fin-FCF'!L22/(1+0.075)^6+'Fin-FCF'!M22/(1+0.075)^7+('Fin-Forecast'!M25*11)/(1+0.075)^7-Drivers!D10)/Drivers!D9</f>
        <v>117.28274566136311</v>
      </c>
      <c r="E16" s="11">
        <f>('Fin-FCF'!G22/(1+0.08)^1+'Fin-FCF'!H22/(1+0.08)^2+'Fin-FCF'!I22/(1+0.08)^3+'Fin-FCF'!J22/(1+0.08)^4+'Fin-FCF'!K22/(1+0.08)^5+'Fin-FCF'!L22/(1+0.08)^6+'Fin-FCF'!M22/(1+0.08)^7+('Fin-Forecast'!M25*11)/(1+0.08)^7-Drivers!D10)/Drivers!D9</f>
        <v>113.01513748504181</v>
      </c>
      <c r="F16" s="11">
        <f>('Fin-FCF'!G22/(1+0.085)^1+'Fin-FCF'!H22/(1+0.085)^2+'Fin-FCF'!I22/(1+0.085)^3+'Fin-FCF'!J22/(1+0.085)^4+'Fin-FCF'!K22/(1+0.085)^5+'Fin-FCF'!L22/(1+0.085)^6+'Fin-FCF'!M22/(1+0.085)^7+('Fin-Forecast'!M25*11)/(1+0.085)^7-Drivers!D10)/Drivers!D9</f>
        <v>108.89491569488202</v>
      </c>
      <c r="G16" s="11">
        <f>('Fin-FCF'!G22/(1+0.09)^1+'Fin-FCF'!H22/(1+0.09)^2+'Fin-FCF'!I22/(1+0.09)^3+'Fin-FCF'!J22/(1+0.09)^4+'Fin-FCF'!K22/(1+0.09)^5+'Fin-FCF'!L22/(1+0.09)^6+'Fin-FCF'!M22/(1+0.09)^7+('Fin-Forecast'!M25*11)/(1+0.09)^7-Drivers!D10)/Drivers!D9</f>
        <v>104.91623976069992</v>
      </c>
      <c r="H16" s="11">
        <f>('Fin-FCF'!G22/(1+0.095)^1+'Fin-FCF'!H22/(1+0.095)^2+'Fin-FCF'!I22/(1+0.095)^3+'Fin-FCF'!J22/(1+0.095)^4+'Fin-FCF'!K22/(1+0.095)^5+'Fin-FCF'!L22/(1+0.095)^6+'Fin-FCF'!M22/(1+0.095)^7+('Fin-Forecast'!M25*11)/(1+0.095)^7-Drivers!D10)/Drivers!D9</f>
        <v>101.07352782332784</v>
      </c>
    </row>
    <row r="17" spans="1:8" x14ac:dyDescent="0.2">
      <c r="A17" s="24" t="s">
        <v>360</v>
      </c>
      <c r="B17" s="11">
        <f>('Fin-FCF'!G22/(1+0.065)^1+'Fin-FCF'!H22/(1+0.065)^2+'Fin-FCF'!I22/(1+0.065)^3+'Fin-FCF'!J22/(1+0.065)^4+'Fin-FCF'!K22/(1+0.065)^5+'Fin-FCF'!L22/(1+0.065)^6+'Fin-FCF'!M22/(1+0.065)^7+('Fin-Forecast'!M25*12)/(1+0.065)^7-Drivers!D10)/Drivers!D9</f>
        <v>136.6038932713158</v>
      </c>
      <c r="C17" s="11">
        <f>('Fin-FCF'!G22/(1+0.07)^1+'Fin-FCF'!H22/(1+0.07)^2+'Fin-FCF'!I22/(1+0.07)^3+'Fin-FCF'!J22/(1+0.07)^4+'Fin-FCF'!K22/(1+0.07)^5+'Fin-FCF'!L22/(1+0.07)^6+'Fin-FCF'!M22/(1+0.07)^7+('Fin-Forecast'!M25*12)/(1+0.07)^7-Drivers!D10)/Drivers!D9</f>
        <v>131.69004528252358</v>
      </c>
      <c r="D17" s="11">
        <f>('Fin-FCF'!G22/(1+0.075)^1+'Fin-FCF'!H22/(1+0.075)^2+'Fin-FCF'!I22/(1+0.075)^3+'Fin-FCF'!J22/(1+0.075)^4+'Fin-FCF'!K22/(1+0.075)^5+'Fin-FCF'!L22/(1+0.075)^6+'Fin-FCF'!M22/(1+0.075)^7+('Fin-Forecast'!M25*12)/(1+0.075)^7-Drivers!D10)/Drivers!D9</f>
        <v>126.94830806297017</v>
      </c>
      <c r="E17" s="11">
        <f>('Fin-FCF'!G22/(1+0.08)^1+'Fin-FCF'!H22/(1+0.08)^2+'Fin-FCF'!I22/(1+0.08)^3+'Fin-FCF'!J22/(1+0.08)^4+'Fin-FCF'!K22/(1+0.08)^5+'Fin-FCF'!L22/(1+0.08)^6+'Fin-FCF'!M22/(1+0.08)^7+('Fin-Forecast'!M25*12)/(1+0.08)^7-Drivers!D10)/Drivers!D9</f>
        <v>122.37178115188442</v>
      </c>
      <c r="F17" s="11">
        <f>('Fin-FCF'!G22/(1+0.085)^1+'Fin-FCF'!H22/(1+0.085)^2+'Fin-FCF'!I22/(1+0.085)^3+'Fin-FCF'!J22/(1+0.085)^4+'Fin-FCF'!K22/(1+0.085)^5+'Fin-FCF'!L22/(1+0.085)^6+'Fin-FCF'!M22/(1+0.085)^7+('Fin-Forecast'!M25*12)/(1+0.085)^7-Drivers!D10)/Drivers!D9</f>
        <v>117.95387297183184</v>
      </c>
      <c r="G17" s="11">
        <f>('Fin-FCF'!G22/(1+0.09)^1+'Fin-FCF'!H22/(1+0.09)^2+'Fin-FCF'!I22/(1+0.09)^3+'Fin-FCF'!J22/(1+0.09)^4+'Fin-FCF'!K22/(1+0.09)^5+'Fin-FCF'!L22/(1+0.09)^6+'Fin-FCF'!M22/(1+0.09)^7+('Fin-Forecast'!M25*12)/(1+0.09)^7-Drivers!D10)/Drivers!D9</f>
        <v>113.68828561461632</v>
      </c>
      <c r="H17" s="11">
        <f>('Fin-FCF'!G22/(1+0.095)^1+'Fin-FCF'!H22/(1+0.095)^2+'Fin-FCF'!I22/(1+0.095)^3+'Fin-FCF'!J22/(1+0.095)^4+'Fin-FCF'!K22/(1+0.095)^5+'Fin-FCF'!L22/(1+0.095)^6+'Fin-FCF'!M22/(1+0.095)^7+('Fin-Forecast'!M25*12)/(1+0.095)^7-Drivers!D10)/Drivers!D9</f>
        <v>109.56900044331908</v>
      </c>
    </row>
    <row r="18" spans="1:8" x14ac:dyDescent="0.2">
      <c r="A18" s="24" t="s">
        <v>361</v>
      </c>
      <c r="B18" s="11">
        <f>('Fin-FCF'!G22/(1+0.065)^1+'Fin-FCF'!H22/(1+0.065)^2+'Fin-FCF'!I22/(1+0.065)^3+'Fin-FCF'!J22/(1+0.065)^4+'Fin-FCF'!K22/(1+0.065)^5+'Fin-FCF'!L22/(1+0.065)^6+'Fin-FCF'!M22/(1+0.065)^7+('Fin-Forecast'!M25*13)/(1+0.065)^7-Drivers!D10)/Drivers!D9</f>
        <v>146.92292919461073</v>
      </c>
      <c r="C18" s="11">
        <f>('Fin-FCF'!G22/(1+0.07)^1+'Fin-FCF'!H22/(1+0.07)^2+'Fin-FCF'!I22/(1+0.07)^3+'Fin-FCF'!J22/(1+0.07)^4+'Fin-FCF'!K22/(1+0.07)^5+'Fin-FCF'!L22/(1+0.07)^6+'Fin-FCF'!M22/(1+0.07)^7+('Fin-Forecast'!M25*13)/(1+0.07)^7-Drivers!D10)/Drivers!D9</f>
        <v>141.67623781584643</v>
      </c>
      <c r="D18" s="11">
        <f>('Fin-FCF'!G22/(1+0.075)^1+'Fin-FCF'!H22/(1+0.075)^2+'Fin-FCF'!I22/(1+0.075)^3+'Fin-FCF'!J22/(1+0.075)^4+'Fin-FCF'!K22/(1+0.075)^5+'Fin-FCF'!L22/(1+0.075)^6+'Fin-FCF'!M22/(1+0.075)^7+('Fin-Forecast'!M25*13)/(1+0.075)^7-Drivers!D10)/Drivers!D9</f>
        <v>136.61387046457722</v>
      </c>
      <c r="E18" s="11">
        <f>('Fin-FCF'!G22/(1+0.08)^1+'Fin-FCF'!H22/(1+0.08)^2+'Fin-FCF'!I22/(1+0.08)^3+'Fin-FCF'!J22/(1+0.08)^4+'Fin-FCF'!K22/(1+0.08)^5+'Fin-FCF'!L22/(1+0.08)^6+'Fin-FCF'!M22/(1+0.08)^7+('Fin-Forecast'!M25*13)/(1+0.08)^7-Drivers!D10)/Drivers!D9</f>
        <v>131.72842481872701</v>
      </c>
      <c r="F18" s="11">
        <f>('Fin-FCF'!G22/(1+0.085)^1+'Fin-FCF'!H22/(1+0.085)^2+'Fin-FCF'!I22/(1+0.085)^3+'Fin-FCF'!J22/(1+0.085)^4+'Fin-FCF'!K22/(1+0.085)^5+'Fin-FCF'!L22/(1+0.085)^6+'Fin-FCF'!M22/(1+0.085)^7+('Fin-Forecast'!M25*13)/(1+0.085)^7-Drivers!D10)/Drivers!D9</f>
        <v>127.01283024878167</v>
      </c>
      <c r="G18" s="11">
        <f>('Fin-FCF'!G22/(1+0.09)^1+'Fin-FCF'!H22/(1+0.09)^2+'Fin-FCF'!I22/(1+0.09)^3+'Fin-FCF'!J22/(1+0.09)^4+'Fin-FCF'!K22/(1+0.09)^5+'Fin-FCF'!L22/(1+0.09)^6+'Fin-FCF'!M22/(1+0.09)^7+('Fin-Forecast'!M25*13)/(1+0.09)^7-Drivers!D10)/Drivers!D9</f>
        <v>122.46033146853274</v>
      </c>
      <c r="H18" s="11">
        <f>('Fin-FCF'!G22/(1+0.095)^1+'Fin-FCF'!H22/(1+0.095)^2+'Fin-FCF'!I22/(1+0.095)^3+'Fin-FCF'!J22/(1+0.095)^4+'Fin-FCF'!K22/(1+0.095)^5+'Fin-FCF'!L22/(1+0.095)^6+'Fin-FCF'!M22/(1+0.095)^7+('Fin-Forecast'!M25*13)/(1+0.095)^7-Drivers!D10)/Drivers!D9</f>
        <v>118.06447306331032</v>
      </c>
    </row>
    <row r="19" spans="1:8" x14ac:dyDescent="0.2">
      <c r="A19" s="24" t="s">
        <v>362</v>
      </c>
      <c r="B19" s="11">
        <f>('Fin-FCF'!G22/(1+0.065)^1+'Fin-FCF'!H22/(1+0.065)^2+'Fin-FCF'!I22/(1+0.065)^3+'Fin-FCF'!J22/(1+0.065)^4+'Fin-FCF'!K22/(1+0.065)^5+'Fin-FCF'!L22/(1+0.065)^6+'Fin-FCF'!M22/(1+0.065)^7+('Fin-Forecast'!M25*14)/(1+0.065)^7-Drivers!D10)/Drivers!D9</f>
        <v>157.24196511790561</v>
      </c>
      <c r="C19" s="11">
        <f>('Fin-FCF'!G22/(1+0.07)^1+'Fin-FCF'!H22/(1+0.07)^2+'Fin-FCF'!I22/(1+0.07)^3+'Fin-FCF'!J22/(1+0.07)^4+'Fin-FCF'!K22/(1+0.07)^5+'Fin-FCF'!L22/(1+0.07)^6+'Fin-FCF'!M22/(1+0.07)^7+('Fin-Forecast'!M25*14)/(1+0.07)^7-Drivers!D10)/Drivers!D9</f>
        <v>151.66243034916926</v>
      </c>
      <c r="D19" s="11">
        <f>('Fin-FCF'!G22/(1+0.075)^1+'Fin-FCF'!H22/(1+0.075)^2+'Fin-FCF'!I22/(1+0.075)^3+'Fin-FCF'!J22/(1+0.075)^4+'Fin-FCF'!K22/(1+0.075)^5+'Fin-FCF'!L22/(1+0.075)^6+'Fin-FCF'!M22/(1+0.075)^7+('Fin-Forecast'!M25*14)/(1+0.075)^7-Drivers!D10)/Drivers!D9</f>
        <v>146.27943286618427</v>
      </c>
      <c r="E19" s="11">
        <f>('Fin-FCF'!G22/(1+0.08)^1+'Fin-FCF'!H22/(1+0.08)^2+'Fin-FCF'!I22/(1+0.08)^3+'Fin-FCF'!J22/(1+0.08)^4+'Fin-FCF'!K22/(1+0.08)^5+'Fin-FCF'!L22/(1+0.08)^6+'Fin-FCF'!M22/(1+0.08)^7+('Fin-Forecast'!M25*14)/(1+0.08)^7-Drivers!D10)/Drivers!D9</f>
        <v>141.08506848556959</v>
      </c>
      <c r="F19" s="11">
        <f>('Fin-FCF'!G22/(1+0.085)^1+'Fin-FCF'!H22/(1+0.085)^2+'Fin-FCF'!I22/(1+0.085)^3+'Fin-FCF'!J22/(1+0.085)^4+'Fin-FCF'!K22/(1+0.085)^5+'Fin-FCF'!L22/(1+0.085)^6+'Fin-FCF'!M22/(1+0.085)^7+('Fin-Forecast'!M25*14)/(1+0.085)^7-Drivers!D10)/Drivers!D9</f>
        <v>136.07178752573148</v>
      </c>
      <c r="G19" s="11">
        <f>('Fin-FCF'!G22/(1+0.09)^1+'Fin-FCF'!H22/(1+0.09)^2+'Fin-FCF'!I22/(1+0.09)^3+'Fin-FCF'!J22/(1+0.09)^4+'Fin-FCF'!K22/(1+0.09)^5+'Fin-FCF'!L22/(1+0.09)^6+'Fin-FCF'!M22/(1+0.09)^7+('Fin-Forecast'!M25*14)/(1+0.09)^7-Drivers!D10)/Drivers!D9</f>
        <v>131.23237732244911</v>
      </c>
      <c r="H19" s="11">
        <f>('Fin-FCF'!G22/(1+0.095)^1+'Fin-FCF'!H22/(1+0.095)^2+'Fin-FCF'!I22/(1+0.095)^3+'Fin-FCF'!J22/(1+0.095)^4+'Fin-FCF'!K22/(1+0.095)^5+'Fin-FCF'!L22/(1+0.095)^6+'Fin-FCF'!M22/(1+0.095)^7+('Fin-Forecast'!M25*14)/(1+0.095)^7-Drivers!D10)/Drivers!D9</f>
        <v>126.55994568330155</v>
      </c>
    </row>
    <row r="20" spans="1:8" x14ac:dyDescent="0.2">
      <c r="A20" s="24" t="s">
        <v>363</v>
      </c>
      <c r="B20" s="11">
        <f>('Fin-FCF'!G22/(1+0.065)^1+'Fin-FCF'!H22/(1+0.065)^2+'Fin-FCF'!I22/(1+0.065)^3+'Fin-FCF'!J22/(1+0.065)^4+'Fin-FCF'!K22/(1+0.065)^5+'Fin-FCF'!L22/(1+0.065)^6+'Fin-FCF'!M22/(1+0.065)^7+('Fin-Forecast'!M25*15)/(1+0.065)^7-Drivers!D10)/Drivers!D9</f>
        <v>167.56100104120054</v>
      </c>
      <c r="C20" s="11">
        <f>('Fin-FCF'!G22/(1+0.07)^1+'Fin-FCF'!H22/(1+0.07)^2+'Fin-FCF'!I22/(1+0.07)^3+'Fin-FCF'!J22/(1+0.07)^4+'Fin-FCF'!K22/(1+0.07)^5+'Fin-FCF'!L22/(1+0.07)^6+'Fin-FCF'!M22/(1+0.07)^7+('Fin-Forecast'!M25*15)/(1+0.07)^7-Drivers!D10)/Drivers!D9</f>
        <v>161.64862288249211</v>
      </c>
      <c r="D20" s="11">
        <f>('Fin-FCF'!G22/(1+0.075)^1+'Fin-FCF'!H22/(1+0.075)^2+'Fin-FCF'!I22/(1+0.075)^3+'Fin-FCF'!J22/(1+0.075)^4+'Fin-FCF'!K22/(1+0.075)^5+'Fin-FCF'!L22/(1+0.075)^6+'Fin-FCF'!M22/(1+0.075)^7+('Fin-Forecast'!M25*15)/(1+0.075)^7-Drivers!D10)/Drivers!D9</f>
        <v>155.94499526779128</v>
      </c>
      <c r="E20" s="11">
        <f>('Fin-FCF'!G22/(1+0.08)^1+'Fin-FCF'!H22/(1+0.08)^2+'Fin-FCF'!I22/(1+0.08)^3+'Fin-FCF'!J22/(1+0.08)^4+'Fin-FCF'!K22/(1+0.08)^5+'Fin-FCF'!L22/(1+0.08)^6+'Fin-FCF'!M22/(1+0.08)^7+('Fin-Forecast'!M25*15)/(1+0.08)^7-Drivers!D10)/Drivers!D9</f>
        <v>150.44171215241221</v>
      </c>
      <c r="F20" s="11">
        <f>('Fin-FCF'!G22/(1+0.085)^1+'Fin-FCF'!H22/(1+0.085)^2+'Fin-FCF'!I22/(1+0.085)^3+'Fin-FCF'!J22/(1+0.085)^4+'Fin-FCF'!K22/(1+0.085)^5+'Fin-FCF'!L22/(1+0.085)^6+'Fin-FCF'!M22/(1+0.085)^7+('Fin-Forecast'!M25*15)/(1+0.085)^7-Drivers!D10)/Drivers!D9</f>
        <v>145.13074480268131</v>
      </c>
      <c r="G20" s="11">
        <f>('Fin-FCF'!G22/(1+0.09)^1+'Fin-FCF'!H22/(1+0.09)^2+'Fin-FCF'!I22/(1+0.09)^3+'Fin-FCF'!J22/(1+0.09)^4+'Fin-FCF'!K22/(1+0.09)^5+'Fin-FCF'!L22/(1+0.09)^6+'Fin-FCF'!M22/(1+0.09)^7+('Fin-Forecast'!M25*15)/(1+0.09)^7-Drivers!D10)/Drivers!D9</f>
        <v>140.00442317636555</v>
      </c>
      <c r="H20" s="11">
        <f>('Fin-FCF'!G22/(1+0.095)^1+'Fin-FCF'!H22/(1+0.095)^2+'Fin-FCF'!I22/(1+0.095)^3+'Fin-FCF'!J22/(1+0.095)^4+'Fin-FCF'!K22/(1+0.095)^5+'Fin-FCF'!L22/(1+0.095)^6+'Fin-FCF'!M22/(1+0.095)^7+('Fin-Forecast'!M25*15)/(1+0.095)^7-Drivers!D10)/Drivers!D9</f>
        <v>135.05541830329275</v>
      </c>
    </row>
    <row r="21" spans="1:8" x14ac:dyDescent="0.2">
      <c r="A21" s="24" t="s">
        <v>364</v>
      </c>
      <c r="B21" s="11">
        <f>('Fin-FCF'!G22/(1+0.065)^1+'Fin-FCF'!H22/(1+0.065)^2+'Fin-FCF'!I22/(1+0.065)^3+'Fin-FCF'!J22/(1+0.065)^4+'Fin-FCF'!K22/(1+0.065)^5+'Fin-FCF'!L22/(1+0.065)^6+'Fin-FCF'!M22/(1+0.065)^7+('Fin-Forecast'!M25*16)/(1+0.065)^7-Drivers!D10)/Drivers!D9</f>
        <v>177.88003696449542</v>
      </c>
      <c r="C21" s="11">
        <f>('Fin-FCF'!G22/(1+0.07)^1+'Fin-FCF'!H22/(1+0.07)^2+'Fin-FCF'!I22/(1+0.07)^3+'Fin-FCF'!J22/(1+0.07)^4+'Fin-FCF'!K22/(1+0.07)^5+'Fin-FCF'!L22/(1+0.07)^6+'Fin-FCF'!M22/(1+0.07)^7+('Fin-Forecast'!M25*16)/(1+0.07)^7-Drivers!D10)/Drivers!D9</f>
        <v>171.63481541581496</v>
      </c>
      <c r="D21" s="11">
        <f>('Fin-FCF'!G22/(1+0.075)^1+'Fin-FCF'!H22/(1+0.075)^2+'Fin-FCF'!I22/(1+0.075)^3+'Fin-FCF'!J22/(1+0.075)^4+'Fin-FCF'!K22/(1+0.075)^5+'Fin-FCF'!L22/(1+0.075)^6+'Fin-FCF'!M22/(1+0.075)^7+('Fin-Forecast'!M25*16)/(1+0.075)^7-Drivers!D10)/Drivers!D9</f>
        <v>165.61055766939833</v>
      </c>
      <c r="E21" s="11">
        <f>('Fin-FCF'!G22/(1+0.08)^1+'Fin-FCF'!H22/(1+0.08)^2+'Fin-FCF'!I22/(1+0.08)^3+'Fin-FCF'!J22/(1+0.08)^4+'Fin-FCF'!K22/(1+0.08)^5+'Fin-FCF'!L22/(1+0.08)^6+'Fin-FCF'!M22/(1+0.08)^7+('Fin-Forecast'!M25*16)/(1+0.08)^7-Drivers!D10)/Drivers!D9</f>
        <v>159.79835581925479</v>
      </c>
      <c r="F21" s="11">
        <f>('Fin-FCF'!G22/(1+0.085)^1+'Fin-FCF'!H22/(1+0.085)^2+'Fin-FCF'!I22/(1+0.085)^3+'Fin-FCF'!J22/(1+0.085)^4+'Fin-FCF'!K22/(1+0.085)^5+'Fin-FCF'!L22/(1+0.085)^6+'Fin-FCF'!M22/(1+0.085)^7+('Fin-Forecast'!M25*16)/(1+0.085)^7-Drivers!D10)/Drivers!D9</f>
        <v>154.18970207963113</v>
      </c>
      <c r="G21" s="11">
        <f>('Fin-FCF'!G22/(1+0.09)^1+'Fin-FCF'!H22/(1+0.09)^2+'Fin-FCF'!I22/(1+0.09)^3+'Fin-FCF'!J22/(1+0.09)^4+'Fin-FCF'!K22/(1+0.09)^5+'Fin-FCF'!L22/(1+0.09)^6+'Fin-FCF'!M22/(1+0.09)^7+('Fin-Forecast'!M25*16)/(1+0.09)^7-Drivers!D10)/Drivers!D9</f>
        <v>148.7764690302819</v>
      </c>
      <c r="H21" s="11">
        <f>('Fin-FCF'!G22/(1+0.095)^1+'Fin-FCF'!H22/(1+0.095)^2+'Fin-FCF'!I22/(1+0.095)^3+'Fin-FCF'!J22/(1+0.095)^4+'Fin-FCF'!K22/(1+0.095)^5+'Fin-FCF'!L22/(1+0.095)^6+'Fin-FCF'!M22/(1+0.095)^7+('Fin-Forecast'!M25*16)/(1+0.095)^7-Drivers!D10)/Drivers!D9</f>
        <v>143.55089092328402</v>
      </c>
    </row>
    <row r="24" spans="1:8" x14ac:dyDescent="0.2">
      <c r="A24" s="4" t="s">
        <v>365</v>
      </c>
    </row>
    <row r="25" spans="1:8" x14ac:dyDescent="0.2">
      <c r="A25" s="13" t="s">
        <v>366</v>
      </c>
      <c r="B25" s="14" t="s">
        <v>367</v>
      </c>
      <c r="C25" s="14" t="s">
        <v>368</v>
      </c>
      <c r="D25" s="14" t="s">
        <v>369</v>
      </c>
    </row>
    <row r="26" spans="1:8" x14ac:dyDescent="0.2">
      <c r="A26" s="5" t="s">
        <v>370</v>
      </c>
      <c r="B26" s="47" t="s">
        <v>371</v>
      </c>
      <c r="C26" s="47" t="s">
        <v>353</v>
      </c>
      <c r="D26" s="47" t="s">
        <v>372</v>
      </c>
    </row>
    <row r="27" spans="1:8" x14ac:dyDescent="0.2">
      <c r="A27" s="5" t="s">
        <v>373</v>
      </c>
      <c r="B27" s="47" t="s">
        <v>374</v>
      </c>
      <c r="C27" s="47" t="s">
        <v>351</v>
      </c>
      <c r="D27" s="47" t="s">
        <v>375</v>
      </c>
    </row>
    <row r="28" spans="1:8" x14ac:dyDescent="0.2">
      <c r="A28" s="5" t="s">
        <v>88</v>
      </c>
      <c r="B28" s="47" t="s">
        <v>30</v>
      </c>
      <c r="C28" s="47" t="s">
        <v>376</v>
      </c>
      <c r="D28" s="47" t="s">
        <v>377</v>
      </c>
    </row>
    <row r="29" spans="1:8" x14ac:dyDescent="0.2">
      <c r="A29" s="5" t="s">
        <v>378</v>
      </c>
      <c r="B29" s="47" t="s">
        <v>353</v>
      </c>
      <c r="C29" s="47" t="s">
        <v>379</v>
      </c>
      <c r="D29" s="47" t="s">
        <v>380</v>
      </c>
    </row>
    <row r="31" spans="1:8" x14ac:dyDescent="0.2">
      <c r="A31" s="13" t="s">
        <v>381</v>
      </c>
      <c r="B31" s="14" t="s">
        <v>382</v>
      </c>
    </row>
    <row r="32" spans="1:8" x14ac:dyDescent="0.2">
      <c r="A32" s="5" t="s">
        <v>383</v>
      </c>
      <c r="B32" s="47" t="s">
        <v>384</v>
      </c>
    </row>
    <row r="33" spans="1:3" x14ac:dyDescent="0.2">
      <c r="A33" s="5" t="s">
        <v>385</v>
      </c>
      <c r="B33" s="47" t="s">
        <v>386</v>
      </c>
    </row>
    <row r="34" spans="1:3" x14ac:dyDescent="0.2">
      <c r="A34" s="5" t="s">
        <v>387</v>
      </c>
      <c r="B34" s="47" t="s">
        <v>388</v>
      </c>
    </row>
    <row r="35" spans="1:3" x14ac:dyDescent="0.2">
      <c r="A35" s="5" t="s">
        <v>389</v>
      </c>
      <c r="B35" s="47" t="s">
        <v>390</v>
      </c>
    </row>
    <row r="36" spans="1:3" x14ac:dyDescent="0.2">
      <c r="A36" s="5" t="s">
        <v>391</v>
      </c>
      <c r="B36" s="47" t="s">
        <v>392</v>
      </c>
    </row>
    <row r="37" spans="1:3" x14ac:dyDescent="0.2">
      <c r="A37" s="5" t="s">
        <v>393</v>
      </c>
      <c r="B37" s="47" t="s">
        <v>394</v>
      </c>
    </row>
    <row r="38" spans="1:3" x14ac:dyDescent="0.2">
      <c r="A38" s="5" t="s">
        <v>395</v>
      </c>
      <c r="B38" s="47" t="s">
        <v>396</v>
      </c>
    </row>
    <row r="39" spans="1:3" x14ac:dyDescent="0.2">
      <c r="A39" s="5" t="s">
        <v>56</v>
      </c>
      <c r="B39" s="47" t="s">
        <v>16</v>
      </c>
    </row>
    <row r="40" spans="1:3" x14ac:dyDescent="0.2">
      <c r="A40" s="5" t="s">
        <v>397</v>
      </c>
      <c r="B40" s="47" t="s">
        <v>398</v>
      </c>
    </row>
    <row r="41" spans="1:3" x14ac:dyDescent="0.2">
      <c r="A41" s="5" t="s">
        <v>399</v>
      </c>
      <c r="B41" s="47" t="s">
        <v>400</v>
      </c>
    </row>
    <row r="42" spans="1:3" x14ac:dyDescent="0.2">
      <c r="A42" s="5" t="s">
        <v>401</v>
      </c>
      <c r="B42" s="47" t="s">
        <v>402</v>
      </c>
    </row>
    <row r="44" spans="1:3" x14ac:dyDescent="0.2">
      <c r="A44" s="13" t="s">
        <v>403</v>
      </c>
      <c r="B44" s="14" t="s">
        <v>404</v>
      </c>
      <c r="C44" s="14" t="s">
        <v>405</v>
      </c>
    </row>
    <row r="45" spans="1:3" x14ac:dyDescent="0.2">
      <c r="B45" s="48">
        <v>87.1</v>
      </c>
      <c r="C45" s="49">
        <v>141</v>
      </c>
    </row>
    <row r="46" spans="1:3" x14ac:dyDescent="0.2">
      <c r="B46" s="48">
        <v>109.4</v>
      </c>
      <c r="C46" s="49">
        <v>755</v>
      </c>
    </row>
    <row r="47" spans="1:3" x14ac:dyDescent="0.2">
      <c r="B47" s="48">
        <v>131.69999999999999</v>
      </c>
      <c r="C47" s="49">
        <v>1814</v>
      </c>
    </row>
    <row r="48" spans="1:3" x14ac:dyDescent="0.2">
      <c r="B48" s="48">
        <v>154.01</v>
      </c>
      <c r="C48" s="49">
        <v>2676</v>
      </c>
    </row>
    <row r="49" spans="2:3" x14ac:dyDescent="0.2">
      <c r="B49" s="48">
        <v>176.31</v>
      </c>
      <c r="C49" s="49">
        <v>2906</v>
      </c>
    </row>
    <row r="50" spans="2:3" x14ac:dyDescent="0.2">
      <c r="B50" s="48">
        <v>198.61</v>
      </c>
      <c r="C50" s="49">
        <v>2810</v>
      </c>
    </row>
    <row r="51" spans="2:3" x14ac:dyDescent="0.2">
      <c r="B51" s="48">
        <v>220.92</v>
      </c>
      <c r="C51" s="49">
        <v>2394</v>
      </c>
    </row>
    <row r="52" spans="2:3" x14ac:dyDescent="0.2">
      <c r="B52" s="48">
        <v>243.22</v>
      </c>
      <c r="C52" s="49">
        <v>1880</v>
      </c>
    </row>
    <row r="53" spans="2:3" x14ac:dyDescent="0.2">
      <c r="B53" s="48">
        <v>265.52</v>
      </c>
      <c r="C53" s="49">
        <v>1368</v>
      </c>
    </row>
    <row r="54" spans="2:3" x14ac:dyDescent="0.2">
      <c r="B54" s="48">
        <v>287.82</v>
      </c>
      <c r="C54" s="49">
        <v>989</v>
      </c>
    </row>
    <row r="55" spans="2:3" x14ac:dyDescent="0.2">
      <c r="B55" s="48">
        <v>310.13</v>
      </c>
      <c r="C55" s="49">
        <v>679</v>
      </c>
    </row>
    <row r="56" spans="2:3" x14ac:dyDescent="0.2">
      <c r="B56" s="48">
        <v>332.43</v>
      </c>
      <c r="C56" s="49">
        <v>505</v>
      </c>
    </row>
    <row r="57" spans="2:3" x14ac:dyDescent="0.2">
      <c r="B57" s="48">
        <v>354.73</v>
      </c>
      <c r="C57" s="49">
        <v>297</v>
      </c>
    </row>
    <row r="58" spans="2:3" x14ac:dyDescent="0.2">
      <c r="B58" s="48">
        <v>377.04</v>
      </c>
      <c r="C58" s="49">
        <v>231</v>
      </c>
    </row>
    <row r="59" spans="2:3" x14ac:dyDescent="0.2">
      <c r="B59" s="48">
        <v>399.34</v>
      </c>
      <c r="C59" s="49">
        <v>164</v>
      </c>
    </row>
    <row r="60" spans="2:3" x14ac:dyDescent="0.2">
      <c r="B60" s="48">
        <v>421.64</v>
      </c>
      <c r="C60" s="49">
        <v>103</v>
      </c>
    </row>
    <row r="61" spans="2:3" x14ac:dyDescent="0.2">
      <c r="B61" s="48">
        <v>443.94</v>
      </c>
      <c r="C61" s="49">
        <v>86</v>
      </c>
    </row>
    <row r="62" spans="2:3" x14ac:dyDescent="0.2">
      <c r="B62" s="48">
        <v>466.25</v>
      </c>
      <c r="C62" s="49">
        <v>57</v>
      </c>
    </row>
    <row r="63" spans="2:3" x14ac:dyDescent="0.2">
      <c r="B63" s="48">
        <v>488.55</v>
      </c>
      <c r="C63" s="49">
        <v>35</v>
      </c>
    </row>
    <row r="64" spans="2:3" x14ac:dyDescent="0.2">
      <c r="B64" s="48">
        <v>510.85</v>
      </c>
      <c r="C64" s="49">
        <v>31</v>
      </c>
    </row>
    <row r="65" spans="2:3" x14ac:dyDescent="0.2">
      <c r="B65" s="48">
        <v>533.15</v>
      </c>
      <c r="C65" s="49">
        <v>21</v>
      </c>
    </row>
    <row r="66" spans="2:3" x14ac:dyDescent="0.2">
      <c r="B66" s="48">
        <v>555.46</v>
      </c>
      <c r="C66" s="49">
        <v>12</v>
      </c>
    </row>
    <row r="67" spans="2:3" x14ac:dyDescent="0.2">
      <c r="B67" s="48">
        <v>577.76</v>
      </c>
      <c r="C67" s="49">
        <v>10</v>
      </c>
    </row>
    <row r="68" spans="2:3" x14ac:dyDescent="0.2">
      <c r="B68" s="48">
        <v>600.05999999999995</v>
      </c>
      <c r="C68" s="49">
        <v>7</v>
      </c>
    </row>
    <row r="69" spans="2:3" x14ac:dyDescent="0.2">
      <c r="B69" s="48">
        <v>622.37</v>
      </c>
      <c r="C69" s="49">
        <v>11</v>
      </c>
    </row>
    <row r="70" spans="2:3" x14ac:dyDescent="0.2">
      <c r="B70" s="48">
        <v>644.66999999999996</v>
      </c>
      <c r="C70" s="49">
        <v>6</v>
      </c>
    </row>
    <row r="71" spans="2:3" x14ac:dyDescent="0.2">
      <c r="B71" s="48">
        <v>666.97</v>
      </c>
      <c r="C71" s="49">
        <v>5</v>
      </c>
    </row>
    <row r="72" spans="2:3" x14ac:dyDescent="0.2">
      <c r="B72" s="48">
        <v>689.27</v>
      </c>
      <c r="C72" s="49">
        <v>1</v>
      </c>
    </row>
    <row r="73" spans="2:3" x14ac:dyDescent="0.2">
      <c r="B73" s="48">
        <v>711.58</v>
      </c>
      <c r="C73" s="49">
        <v>0</v>
      </c>
    </row>
    <row r="74" spans="2:3" x14ac:dyDescent="0.2">
      <c r="B74" s="48">
        <v>733.88</v>
      </c>
      <c r="C74" s="49">
        <v>2</v>
      </c>
    </row>
    <row r="75" spans="2:3" x14ac:dyDescent="0.2">
      <c r="B75" s="48">
        <v>756.18</v>
      </c>
      <c r="C75" s="49">
        <v>0</v>
      </c>
    </row>
    <row r="76" spans="2:3" x14ac:dyDescent="0.2">
      <c r="B76" s="48">
        <v>778.49</v>
      </c>
      <c r="C76" s="49">
        <v>0</v>
      </c>
    </row>
    <row r="77" spans="2:3" x14ac:dyDescent="0.2">
      <c r="B77" s="48">
        <v>800.79</v>
      </c>
      <c r="C77" s="49">
        <v>2</v>
      </c>
    </row>
    <row r="78" spans="2:3" x14ac:dyDescent="0.2">
      <c r="B78" s="48">
        <v>823.09</v>
      </c>
      <c r="C78" s="49">
        <v>1</v>
      </c>
    </row>
    <row r="79" spans="2:3" x14ac:dyDescent="0.2">
      <c r="B79" s="48">
        <v>845.39</v>
      </c>
      <c r="C79" s="49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Dashboard</vt:lpstr>
      <vt:lpstr>Drivers</vt:lpstr>
      <vt:lpstr>Fin-Summary</vt:lpstr>
      <vt:lpstr>Fin-Forecast</vt:lpstr>
      <vt:lpstr>Fin-Capital</vt:lpstr>
      <vt:lpstr>Fin-Ratios</vt:lpstr>
      <vt:lpstr>Fin-FCF</vt:lpstr>
      <vt:lpstr>Charts</vt:lpstr>
      <vt:lpstr>DCF-FCFF</vt:lpstr>
      <vt:lpstr>DCF-FCFE</vt:lpstr>
      <vt:lpstr>EVA-Residual</vt:lpstr>
      <vt:lpstr>MVA</vt:lpstr>
      <vt:lpstr>Comps</vt:lpstr>
      <vt:lpstr>Scenario-Sensitivity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Deutschmann</cp:lastModifiedBy>
  <cp:revision>0</cp:revision>
  <dcterms:created xsi:type="dcterms:W3CDTF">2026-06-15T18:37:24Z</dcterms:created>
  <dcterms:modified xsi:type="dcterms:W3CDTF">2026-06-17T03:13:25Z</dcterms:modified>
  <dc:language>en-US</dc:language>
</cp:coreProperties>
</file>